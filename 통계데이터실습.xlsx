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수학교과\2025\"/>
    </mc:Choice>
  </mc:AlternateContent>
  <xr:revisionPtr revIDLastSave="0" documentId="8_{B4AC89E3-C08C-4779-A442-934B4566FE6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실습데이터1" sheetId="7" r:id="rId1"/>
    <sheet name="실습데이터2" sheetId="6" r:id="rId2"/>
    <sheet name="수학 중간고사" sheetId="1" r:id="rId3"/>
    <sheet name="수학 기말고사" sheetId="2" r:id="rId4"/>
    <sheet name="실습데이터1 (2)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8" l="1"/>
  <c r="N10" i="8" a="1"/>
  <c r="N11" i="8" s="1"/>
  <c r="D39" i="8"/>
  <c r="B39" i="8"/>
  <c r="B35" i="8"/>
  <c r="B36" i="8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I13" i="8"/>
  <c r="E13" i="8"/>
  <c r="I12" i="8"/>
  <c r="E12" i="8"/>
  <c r="E11" i="8"/>
  <c r="E10" i="8"/>
  <c r="E9" i="8"/>
  <c r="E8" i="8"/>
  <c r="E7" i="8"/>
  <c r="E6" i="8"/>
  <c r="E5" i="8"/>
  <c r="I4" i="8" a="1"/>
  <c r="I4" i="8" s="1"/>
  <c r="I5" i="8" s="1"/>
  <c r="E4" i="8"/>
  <c r="E3" i="8"/>
  <c r="I2" i="8"/>
  <c r="E2" i="8"/>
  <c r="I3" i="8" s="1"/>
  <c r="I1" i="8"/>
  <c r="C29" i="8" s="1"/>
  <c r="D29" i="8" s="1"/>
  <c r="C16" i="8" l="1"/>
  <c r="D16" i="8" s="1"/>
  <c r="C9" i="8"/>
  <c r="D9" i="8" s="1"/>
  <c r="C27" i="8"/>
  <c r="D27" i="8" s="1"/>
  <c r="C6" i="8"/>
  <c r="D6" i="8" s="1"/>
  <c r="C24" i="8"/>
  <c r="D24" i="8" s="1"/>
  <c r="C19" i="8"/>
  <c r="D19" i="8" s="1"/>
  <c r="C32" i="8"/>
  <c r="D32" i="8" s="1"/>
  <c r="N10" i="8"/>
  <c r="C12" i="8"/>
  <c r="D12" i="8" s="1"/>
  <c r="C14" i="8"/>
  <c r="D14" i="8" s="1"/>
  <c r="C22" i="8"/>
  <c r="D22" i="8" s="1"/>
  <c r="C30" i="8"/>
  <c r="D30" i="8" s="1"/>
  <c r="C3" i="8"/>
  <c r="D3" i="8" s="1"/>
  <c r="C7" i="8"/>
  <c r="D7" i="8" s="1"/>
  <c r="C17" i="8"/>
  <c r="D17" i="8" s="1"/>
  <c r="C25" i="8"/>
  <c r="D25" i="8" s="1"/>
  <c r="C33" i="8"/>
  <c r="D33" i="8" s="1"/>
  <c r="C5" i="8"/>
  <c r="D5" i="8" s="1"/>
  <c r="C10" i="8"/>
  <c r="D10" i="8" s="1"/>
  <c r="C20" i="8"/>
  <c r="D20" i="8" s="1"/>
  <c r="C28" i="8"/>
  <c r="D28" i="8" s="1"/>
  <c r="C15" i="8"/>
  <c r="D15" i="8" s="1"/>
  <c r="C23" i="8"/>
  <c r="D23" i="8" s="1"/>
  <c r="C31" i="8"/>
  <c r="D31" i="8" s="1"/>
  <c r="C8" i="8"/>
  <c r="D8" i="8" s="1"/>
  <c r="C13" i="8"/>
  <c r="D13" i="8" s="1"/>
  <c r="C18" i="8"/>
  <c r="D18" i="8" s="1"/>
  <c r="C26" i="8"/>
  <c r="D26" i="8" s="1"/>
  <c r="C34" i="8"/>
  <c r="D34" i="8" s="1"/>
  <c r="C2" i="8"/>
  <c r="C4" i="8"/>
  <c r="D4" i="8" s="1"/>
  <c r="C11" i="8"/>
  <c r="D11" i="8" s="1"/>
  <c r="C21" i="8"/>
  <c r="D21" i="8" s="1"/>
  <c r="D2" i="8" l="1"/>
  <c r="D35" i="8" s="1"/>
  <c r="D36" i="8" s="1"/>
  <c r="C35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<sst xmlns="http://schemas.openxmlformats.org/spreadsheetml/2006/main" count="67" uniqueCount="37">
  <si>
    <t>반번호</t>
  </si>
  <si>
    <t>응시생수</t>
  </si>
  <si>
    <t>총      점</t>
  </si>
  <si>
    <t>평      균</t>
  </si>
  <si>
    <t>표준편차</t>
    <phoneticPr fontId="5" type="noConversion"/>
  </si>
  <si>
    <t>분산</t>
    <phoneticPr fontId="5" type="noConversion"/>
  </si>
  <si>
    <t>전체평균은?</t>
    <phoneticPr fontId="5" type="noConversion"/>
  </si>
  <si>
    <t>100점 받은 학생은 몇 명인가?</t>
    <phoneticPr fontId="5" type="noConversion"/>
  </si>
  <si>
    <t>A 성적(90점 이상)은 몇 명인가?</t>
    <phoneticPr fontId="5" type="noConversion"/>
  </si>
  <si>
    <t>중간값은?</t>
    <phoneticPr fontId="5" type="noConversion"/>
  </si>
  <si>
    <t>최빈값은?</t>
    <phoneticPr fontId="5" type="noConversion"/>
  </si>
  <si>
    <t>59점 이하는 몇 명인가?</t>
    <phoneticPr fontId="5" type="noConversion"/>
  </si>
  <si>
    <t>80점 이상 90점 미만은 몇 명인가?</t>
    <phoneticPr fontId="5" type="noConversion"/>
  </si>
  <si>
    <t>1등은?</t>
    <phoneticPr fontId="5" type="noConversion"/>
  </si>
  <si>
    <t>반평균은?</t>
    <phoneticPr fontId="5" type="noConversion"/>
  </si>
  <si>
    <t>국어성적과 수학성적의 상관관계는?</t>
    <phoneticPr fontId="5" type="noConversion"/>
  </si>
  <si>
    <t>수학성적과 과학성적의 상관관계는?</t>
    <phoneticPr fontId="5" type="noConversion"/>
  </si>
  <si>
    <t>어느 과목이 편차가 큰가?</t>
    <phoneticPr fontId="5" type="noConversion"/>
  </si>
  <si>
    <t>어느 과목이 수준이 비슷한가?</t>
    <phoneticPr fontId="5" type="noConversion"/>
  </si>
  <si>
    <t>수학</t>
  </si>
  <si>
    <t>국어</t>
  </si>
  <si>
    <t>영어</t>
  </si>
  <si>
    <t>번호</t>
  </si>
  <si>
    <t>사회</t>
  </si>
  <si>
    <t>역사</t>
  </si>
  <si>
    <t>과학</t>
  </si>
  <si>
    <t>기술·가정</t>
  </si>
  <si>
    <t>편차</t>
    <phoneticPr fontId="5" type="noConversion"/>
  </si>
  <si>
    <t>편차의 제곱</t>
    <phoneticPr fontId="5" type="noConversion"/>
  </si>
  <si>
    <t>등수</t>
    <phoneticPr fontId="5" type="noConversion"/>
  </si>
  <si>
    <t>합계</t>
    <phoneticPr fontId="5" type="noConversion"/>
  </si>
  <si>
    <t>평균</t>
    <phoneticPr fontId="5" type="noConversion"/>
  </si>
  <si>
    <t>함수로 확인하기</t>
    <phoneticPr fontId="5" type="noConversion"/>
  </si>
  <si>
    <t>counif로 확인하기</t>
    <phoneticPr fontId="5" type="noConversion"/>
  </si>
  <si>
    <t>rank 함수로 확인하기</t>
    <phoneticPr fontId="5" type="noConversion"/>
  </si>
  <si>
    <t>*14등이 4명이므로, 17번째 값은 14등을 찾아주어야 함</t>
    <phoneticPr fontId="5" type="noConversion"/>
  </si>
  <si>
    <t>분산구하기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</si>
</sst>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 "/>
    <numFmt numFmtId="177" formatCode="#,##0.00_ "/>
    <numFmt numFmtId="178" formatCode="#,##0.0_ "/>
    <numFmt numFmtId="181" formatCode="0.000_ "/>
    <numFmt numFmtId="182" formatCode="0.0000_ "/>
    <numFmt numFmtId="183" formatCode="0.00000_ "/>
    <numFmt numFmtId="184" formatCode="0.000000000000_ "/>
  </numFmts>
  <fonts count="8" x14ac:knownFonts="1">
    <font>
      <sz val="11"/>
      <color indexed="8"/>
      <name val="맑은 고딕"/>
      <family val="2"/>
      <scheme val="minor"/>
    </font>
    <font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177" fontId="3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177" fontId="3" fillId="2" borderId="0" xfId="0" applyNumberFormat="1" applyFont="1" applyFill="1" applyAlignment="1">
      <alignment vertical="center"/>
    </xf>
    <xf numFmtId="178" fontId="4" fillId="2" borderId="0" xfId="0" applyNumberFormat="1" applyFont="1" applyFill="1" applyAlignment="1">
      <alignment vertical="center"/>
    </xf>
    <xf numFmtId="0" fontId="0" fillId="2" borderId="0" xfId="0" applyFill="1">
      <alignment vertical="center"/>
    </xf>
    <xf numFmtId="177" fontId="0" fillId="2" borderId="0" xfId="0" applyNumberFormat="1" applyFill="1">
      <alignment vertical="center"/>
    </xf>
    <xf numFmtId="177" fontId="6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176" fontId="2" fillId="0" borderId="0" xfId="0" applyNumberFormat="1" applyFont="1" applyBorder="1" applyAlignment="1">
      <alignment vertical="center"/>
    </xf>
    <xf numFmtId="0" fontId="0" fillId="0" borderId="0" xfId="0" applyBorder="1">
      <alignment vertical="center"/>
    </xf>
    <xf numFmtId="176" fontId="1" fillId="0" borderId="0" xfId="0" applyNumberFormat="1" applyFont="1" applyBorder="1" applyAlignment="1">
      <alignment vertical="center"/>
    </xf>
    <xf numFmtId="177" fontId="3" fillId="0" borderId="0" xfId="0" applyNumberFormat="1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178" fontId="4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176" fontId="7" fillId="3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176" fontId="0" fillId="2" borderId="0" xfId="0" applyNumberFormat="1" applyFill="1">
      <alignment vertical="center"/>
    </xf>
    <xf numFmtId="182" fontId="0" fillId="2" borderId="0" xfId="0" applyNumberFormat="1" applyFill="1">
      <alignment vertical="center"/>
    </xf>
    <xf numFmtId="176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84" fontId="0" fillId="0" borderId="1" xfId="0" applyNumberFormat="1" applyBorder="1" applyAlignment="1">
      <alignment vertical="center"/>
    </xf>
    <xf numFmtId="181" fontId="0" fillId="0" borderId="1" xfId="0" applyNumberFormat="1" applyBorder="1" applyAlignment="1">
      <alignment vertical="center"/>
    </xf>
    <xf numFmtId="183" fontId="0" fillId="4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1" fontId="0" fillId="2" borderId="0" xfId="0" applyNumberFormat="1" applyFill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실습데이터2!$E$2:$E$34</c:f>
              <c:numCache>
                <c:formatCode>0_ </c:formatCode>
                <c:ptCount val="33"/>
                <c:pt idx="0">
                  <c:v>95</c:v>
                </c:pt>
                <c:pt idx="1">
                  <c:v>37</c:v>
                </c:pt>
                <c:pt idx="2">
                  <c:v>92</c:v>
                </c:pt>
                <c:pt idx="3">
                  <c:v>62</c:v>
                </c:pt>
                <c:pt idx="4">
                  <c:v>87</c:v>
                </c:pt>
                <c:pt idx="5">
                  <c:v>43</c:v>
                </c:pt>
                <c:pt idx="6">
                  <c:v>94</c:v>
                </c:pt>
                <c:pt idx="7">
                  <c:v>79</c:v>
                </c:pt>
                <c:pt idx="8">
                  <c:v>81</c:v>
                </c:pt>
                <c:pt idx="9">
                  <c:v>71</c:v>
                </c:pt>
                <c:pt idx="10">
                  <c:v>91</c:v>
                </c:pt>
                <c:pt idx="11">
                  <c:v>91</c:v>
                </c:pt>
                <c:pt idx="12">
                  <c:v>97</c:v>
                </c:pt>
                <c:pt idx="13">
                  <c:v>61</c:v>
                </c:pt>
                <c:pt idx="14">
                  <c:v>96</c:v>
                </c:pt>
                <c:pt idx="15">
                  <c:v>37</c:v>
                </c:pt>
                <c:pt idx="16">
                  <c:v>93</c:v>
                </c:pt>
                <c:pt idx="17">
                  <c:v>84</c:v>
                </c:pt>
                <c:pt idx="18">
                  <c:v>87</c:v>
                </c:pt>
                <c:pt idx="19">
                  <c:v>87</c:v>
                </c:pt>
                <c:pt idx="20">
                  <c:v>78</c:v>
                </c:pt>
                <c:pt idx="21">
                  <c:v>94</c:v>
                </c:pt>
                <c:pt idx="22">
                  <c:v>87</c:v>
                </c:pt>
                <c:pt idx="23">
                  <c:v>68</c:v>
                </c:pt>
                <c:pt idx="24">
                  <c:v>85</c:v>
                </c:pt>
                <c:pt idx="25">
                  <c:v>80</c:v>
                </c:pt>
                <c:pt idx="26">
                  <c:v>7</c:v>
                </c:pt>
                <c:pt idx="27">
                  <c:v>75</c:v>
                </c:pt>
                <c:pt idx="28">
                  <c:v>82</c:v>
                </c:pt>
                <c:pt idx="29">
                  <c:v>97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</c:numCache>
            </c:numRef>
          </c:xVal>
          <c:yVal>
            <c:numRef>
              <c:f>실습데이터2!$G$2:$G$34</c:f>
              <c:numCache>
                <c:formatCode>0_ </c:formatCode>
                <c:ptCount val="33"/>
                <c:pt idx="0">
                  <c:v>88</c:v>
                </c:pt>
                <c:pt idx="1">
                  <c:v>63</c:v>
                </c:pt>
                <c:pt idx="2">
                  <c:v>94</c:v>
                </c:pt>
                <c:pt idx="3">
                  <c:v>48</c:v>
                </c:pt>
                <c:pt idx="4">
                  <c:v>91</c:v>
                </c:pt>
                <c:pt idx="5">
                  <c:v>44</c:v>
                </c:pt>
                <c:pt idx="6">
                  <c:v>87</c:v>
                </c:pt>
                <c:pt idx="7">
                  <c:v>79</c:v>
                </c:pt>
                <c:pt idx="8">
                  <c:v>86</c:v>
                </c:pt>
                <c:pt idx="9">
                  <c:v>83</c:v>
                </c:pt>
                <c:pt idx="10">
                  <c:v>90</c:v>
                </c:pt>
                <c:pt idx="11">
                  <c:v>97</c:v>
                </c:pt>
                <c:pt idx="12">
                  <c:v>92</c:v>
                </c:pt>
                <c:pt idx="13">
                  <c:v>85</c:v>
                </c:pt>
                <c:pt idx="14">
                  <c:v>92</c:v>
                </c:pt>
                <c:pt idx="15">
                  <c:v>0</c:v>
                </c:pt>
                <c:pt idx="16">
                  <c:v>94</c:v>
                </c:pt>
                <c:pt idx="17">
                  <c:v>87</c:v>
                </c:pt>
                <c:pt idx="18">
                  <c:v>76</c:v>
                </c:pt>
                <c:pt idx="19">
                  <c:v>98</c:v>
                </c:pt>
                <c:pt idx="20">
                  <c:v>74</c:v>
                </c:pt>
                <c:pt idx="21">
                  <c:v>82</c:v>
                </c:pt>
                <c:pt idx="22">
                  <c:v>85</c:v>
                </c:pt>
                <c:pt idx="23">
                  <c:v>79</c:v>
                </c:pt>
                <c:pt idx="24">
                  <c:v>73</c:v>
                </c:pt>
                <c:pt idx="25">
                  <c:v>92</c:v>
                </c:pt>
                <c:pt idx="26">
                  <c:v>5</c:v>
                </c:pt>
                <c:pt idx="27">
                  <c:v>78</c:v>
                </c:pt>
                <c:pt idx="28">
                  <c:v>70</c:v>
                </c:pt>
                <c:pt idx="29">
                  <c:v>92</c:v>
                </c:pt>
                <c:pt idx="30">
                  <c:v>94</c:v>
                </c:pt>
                <c:pt idx="31">
                  <c:v>77</c:v>
                </c:pt>
                <c:pt idx="32">
                  <c:v>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78-4CE7-B56C-015821675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208016"/>
        <c:axId val="1224208432"/>
      </c:scatterChart>
      <c:valAx>
        <c:axId val="122420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24208432"/>
        <c:crosses val="autoZero"/>
        <c:crossBetween val="midCat"/>
      </c:valAx>
      <c:valAx>
        <c:axId val="122420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2420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430530</xdr:colOff>
      <xdr:row>1</xdr:row>
      <xdr:rowOff>99060</xdr:rowOff>
    </xdr:from>
    <xdr:to>
      <xdr:col>14</xdr:col>
      <xdr:colOff>106680</xdr:colOff>
      <xdr:row>10</xdr:row>
      <xdr:rowOff>137160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2962FE3-EA2B-4C23-B8BB-A49044D14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3076-7196-4C8D-A07F-C69927675D9E}">
  <sheetPr>
    <pageSetUpPr autoPageBreaks="0"/>
  </sheetPr>
  <dimension ref="A1:K39"/>
  <sheetViews>
    <sheetView zoomScale="70" zoomScaleNormal="70" workbookViewId="0">
      <selection activeCell="D5" sqref="D5:D6"/>
    </sheetView>
  </sheetViews>
  <sheetFormatPr defaultColWidth="12.3984375" defaultRowHeight="22.2" customHeight="1" x14ac:dyDescent="0.4"/>
  <cols>
    <col min="1" max="1" width="9.5" style="26" customWidth="1"/>
    <col min="2" max="3" width="12.3984375" style="26"/>
    <col min="4" max="4" width="18.796875" style="26" bestFit="1" customWidth="1"/>
    <col min="5" max="5" width="12.3984375" style="26"/>
    <col min="8" max="8" width="30.796875" customWidth="1"/>
    <col min="9" max="9" width="15.3984375" customWidth="1"/>
  </cols>
  <sheetData>
    <row r="1" spans="1:11" ht="22.2" customHeight="1" x14ac:dyDescent="0.4">
      <c r="A1" s="23" t="s">
        <v>22</v>
      </c>
      <c r="B1" s="23" t="s">
        <v>19</v>
      </c>
      <c r="C1" s="24" t="s">
        <v>27</v>
      </c>
      <c r="D1" s="24" t="s">
        <v>28</v>
      </c>
      <c r="E1" s="24" t="s">
        <v>29</v>
      </c>
      <c r="G1">
        <v>1</v>
      </c>
      <c r="H1" t="s">
        <v>6</v>
      </c>
      <c r="I1" s="27"/>
    </row>
    <row r="2" spans="1:11" ht="22.2" customHeight="1" x14ac:dyDescent="0.4">
      <c r="A2" s="25">
        <v>1</v>
      </c>
      <c r="B2" s="25">
        <v>95</v>
      </c>
      <c r="C2" s="32"/>
      <c r="D2" s="31"/>
      <c r="E2" s="24"/>
      <c r="G2">
        <v>2</v>
      </c>
      <c r="H2" t="s">
        <v>9</v>
      </c>
      <c r="I2" s="8"/>
    </row>
    <row r="3" spans="1:11" ht="22.2" customHeight="1" x14ac:dyDescent="0.4">
      <c r="A3" s="25">
        <v>2</v>
      </c>
      <c r="B3" s="25">
        <v>37</v>
      </c>
      <c r="C3" s="32"/>
      <c r="D3" s="31"/>
      <c r="E3" s="24"/>
      <c r="G3">
        <v>3</v>
      </c>
      <c r="H3" t="s">
        <v>34</v>
      </c>
      <c r="K3" t="s">
        <v>35</v>
      </c>
    </row>
    <row r="4" spans="1:11" ht="22.2" customHeight="1" x14ac:dyDescent="0.4">
      <c r="A4" s="25">
        <v>3</v>
      </c>
      <c r="B4" s="25">
        <v>92</v>
      </c>
      <c r="C4" s="32"/>
      <c r="D4" s="31"/>
      <c r="E4" s="24"/>
      <c r="G4">
        <v>4</v>
      </c>
      <c r="H4" t="s">
        <v>10</v>
      </c>
      <c r="I4" s="35"/>
    </row>
    <row r="5" spans="1:11" ht="22.2" customHeight="1" x14ac:dyDescent="0.4">
      <c r="A5" s="25">
        <v>4</v>
      </c>
      <c r="B5" s="25">
        <v>62</v>
      </c>
      <c r="C5" s="32"/>
      <c r="D5" s="31"/>
      <c r="E5" s="24"/>
      <c r="G5">
        <v>5</v>
      </c>
      <c r="H5" t="s">
        <v>33</v>
      </c>
    </row>
    <row r="6" spans="1:11" ht="22.2" customHeight="1" x14ac:dyDescent="0.4">
      <c r="A6" s="25">
        <v>5</v>
      </c>
      <c r="B6" s="25">
        <v>87</v>
      </c>
      <c r="C6" s="32"/>
      <c r="D6" s="31"/>
      <c r="E6" s="30"/>
      <c r="G6">
        <v>6</v>
      </c>
      <c r="H6" t="s">
        <v>36</v>
      </c>
    </row>
    <row r="7" spans="1:11" ht="22.2" customHeight="1" x14ac:dyDescent="0.4">
      <c r="A7" s="25">
        <v>6</v>
      </c>
      <c r="B7" s="25">
        <v>43</v>
      </c>
      <c r="C7" s="32"/>
      <c r="D7" s="31"/>
      <c r="E7" s="24"/>
    </row>
    <row r="8" spans="1:11" ht="22.2" customHeight="1" x14ac:dyDescent="0.4">
      <c r="A8" s="25">
        <v>7</v>
      </c>
      <c r="B8" s="25">
        <v>94</v>
      </c>
      <c r="C8" s="32"/>
      <c r="D8" s="31"/>
      <c r="E8" s="24"/>
    </row>
    <row r="9" spans="1:11" ht="22.2" customHeight="1" x14ac:dyDescent="0.4">
      <c r="A9" s="25">
        <v>8</v>
      </c>
      <c r="B9" s="25">
        <v>79</v>
      </c>
      <c r="C9" s="32"/>
      <c r="D9" s="31"/>
      <c r="E9" s="24"/>
      <c r="I9" s="36"/>
    </row>
    <row r="10" spans="1:11" ht="22.2" customHeight="1" x14ac:dyDescent="0.4">
      <c r="A10" s="25">
        <v>9</v>
      </c>
      <c r="B10" s="25">
        <v>81</v>
      </c>
      <c r="C10" s="32"/>
      <c r="D10" s="31"/>
      <c r="E10" s="24"/>
      <c r="I10" s="36"/>
    </row>
    <row r="11" spans="1:11" ht="22.2" customHeight="1" x14ac:dyDescent="0.4">
      <c r="A11" s="25">
        <v>10</v>
      </c>
      <c r="B11" s="25">
        <v>71</v>
      </c>
      <c r="C11" s="32"/>
      <c r="D11" s="31"/>
      <c r="E11" s="24"/>
      <c r="I11" s="36"/>
    </row>
    <row r="12" spans="1:11" ht="22.2" customHeight="1" x14ac:dyDescent="0.4">
      <c r="A12" s="25">
        <v>11</v>
      </c>
      <c r="B12" s="25">
        <v>91</v>
      </c>
      <c r="C12" s="32"/>
      <c r="D12" s="31"/>
      <c r="E12" s="24"/>
      <c r="G12">
        <v>6</v>
      </c>
      <c r="H12" t="s">
        <v>8</v>
      </c>
      <c r="I12" s="7"/>
    </row>
    <row r="13" spans="1:11" ht="22.2" customHeight="1" x14ac:dyDescent="0.4">
      <c r="A13" s="25">
        <v>12</v>
      </c>
      <c r="B13" s="25">
        <v>91</v>
      </c>
      <c r="C13" s="32"/>
      <c r="D13" s="31"/>
      <c r="E13" s="24"/>
      <c r="G13">
        <v>6</v>
      </c>
      <c r="H13" t="s">
        <v>11</v>
      </c>
      <c r="I13" s="7"/>
    </row>
    <row r="14" spans="1:11" ht="22.2" customHeight="1" x14ac:dyDescent="0.4">
      <c r="A14" s="25">
        <v>13</v>
      </c>
      <c r="B14" s="25">
        <v>97</v>
      </c>
      <c r="C14" s="32"/>
      <c r="D14" s="31"/>
      <c r="E14" s="24"/>
    </row>
    <row r="15" spans="1:11" ht="22.2" customHeight="1" x14ac:dyDescent="0.4">
      <c r="A15" s="25">
        <v>14</v>
      </c>
      <c r="B15" s="25">
        <v>61</v>
      </c>
      <c r="C15" s="32"/>
      <c r="D15" s="31"/>
      <c r="E15" s="24"/>
    </row>
    <row r="16" spans="1:11" ht="22.2" customHeight="1" x14ac:dyDescent="0.4">
      <c r="A16" s="25">
        <v>15</v>
      </c>
      <c r="B16" s="25">
        <v>96</v>
      </c>
      <c r="C16" s="32"/>
      <c r="D16" s="31"/>
      <c r="E16" s="24"/>
    </row>
    <row r="17" spans="1:5" ht="22.2" customHeight="1" x14ac:dyDescent="0.4">
      <c r="A17" s="25">
        <v>16</v>
      </c>
      <c r="B17" s="25">
        <v>37</v>
      </c>
      <c r="C17" s="32"/>
      <c r="D17" s="31"/>
      <c r="E17" s="24"/>
    </row>
    <row r="18" spans="1:5" ht="22.2" customHeight="1" x14ac:dyDescent="0.4">
      <c r="A18" s="25">
        <v>17</v>
      </c>
      <c r="B18" s="25">
        <v>93</v>
      </c>
      <c r="C18" s="32"/>
      <c r="D18" s="31"/>
      <c r="E18" s="24"/>
    </row>
    <row r="19" spans="1:5" ht="22.2" customHeight="1" x14ac:dyDescent="0.4">
      <c r="A19" s="25">
        <v>18</v>
      </c>
      <c r="B19" s="25">
        <v>84</v>
      </c>
      <c r="C19" s="32"/>
      <c r="D19" s="31"/>
      <c r="E19" s="24"/>
    </row>
    <row r="20" spans="1:5" ht="22.2" customHeight="1" x14ac:dyDescent="0.4">
      <c r="A20" s="25">
        <v>19</v>
      </c>
      <c r="B20" s="25">
        <v>87</v>
      </c>
      <c r="C20" s="32"/>
      <c r="D20" s="31"/>
      <c r="E20" s="30"/>
    </row>
    <row r="21" spans="1:5" ht="22.2" customHeight="1" x14ac:dyDescent="0.4">
      <c r="A21" s="25">
        <v>20</v>
      </c>
      <c r="B21" s="25">
        <v>87</v>
      </c>
      <c r="C21" s="32"/>
      <c r="D21" s="31"/>
      <c r="E21" s="30"/>
    </row>
    <row r="22" spans="1:5" ht="22.2" customHeight="1" x14ac:dyDescent="0.4">
      <c r="A22" s="25">
        <v>21</v>
      </c>
      <c r="B22" s="25">
        <v>78</v>
      </c>
      <c r="C22" s="32"/>
      <c r="D22" s="31"/>
      <c r="E22" s="24"/>
    </row>
    <row r="23" spans="1:5" ht="22.2" customHeight="1" x14ac:dyDescent="0.4">
      <c r="A23" s="25">
        <v>22</v>
      </c>
      <c r="B23" s="25">
        <v>94</v>
      </c>
      <c r="C23" s="32"/>
      <c r="D23" s="31"/>
      <c r="E23" s="24"/>
    </row>
    <row r="24" spans="1:5" ht="22.2" customHeight="1" x14ac:dyDescent="0.4">
      <c r="A24" s="25">
        <v>23</v>
      </c>
      <c r="B24" s="25">
        <v>87</v>
      </c>
      <c r="C24" s="32"/>
      <c r="D24" s="31"/>
      <c r="E24" s="30"/>
    </row>
    <row r="25" spans="1:5" ht="22.2" customHeight="1" x14ac:dyDescent="0.4">
      <c r="A25" s="25">
        <v>24</v>
      </c>
      <c r="B25" s="25">
        <v>68</v>
      </c>
      <c r="C25" s="32"/>
      <c r="D25" s="31"/>
      <c r="E25" s="24"/>
    </row>
    <row r="26" spans="1:5" ht="22.2" customHeight="1" x14ac:dyDescent="0.4">
      <c r="A26" s="25">
        <v>25</v>
      </c>
      <c r="B26" s="25">
        <v>85</v>
      </c>
      <c r="C26" s="32"/>
      <c r="D26" s="31"/>
      <c r="E26" s="24"/>
    </row>
    <row r="27" spans="1:5" ht="22.2" customHeight="1" x14ac:dyDescent="0.4">
      <c r="A27" s="25">
        <v>26</v>
      </c>
      <c r="B27" s="25">
        <v>80</v>
      </c>
      <c r="C27" s="32"/>
      <c r="D27" s="31"/>
      <c r="E27" s="24"/>
    </row>
    <row r="28" spans="1:5" ht="22.2" customHeight="1" x14ac:dyDescent="0.4">
      <c r="A28" s="25">
        <v>27</v>
      </c>
      <c r="B28" s="25">
        <v>7</v>
      </c>
      <c r="C28" s="32"/>
      <c r="D28" s="31"/>
      <c r="E28" s="24"/>
    </row>
    <row r="29" spans="1:5" ht="22.2" customHeight="1" x14ac:dyDescent="0.4">
      <c r="A29" s="25">
        <v>28</v>
      </c>
      <c r="B29" s="25">
        <v>75</v>
      </c>
      <c r="C29" s="32"/>
      <c r="D29" s="31"/>
      <c r="E29" s="24"/>
    </row>
    <row r="30" spans="1:5" ht="22.2" customHeight="1" x14ac:dyDescent="0.4">
      <c r="A30" s="25">
        <v>29</v>
      </c>
      <c r="B30" s="25">
        <v>82</v>
      </c>
      <c r="C30" s="32"/>
      <c r="D30" s="31"/>
      <c r="E30" s="24"/>
    </row>
    <row r="31" spans="1:5" ht="22.2" customHeight="1" x14ac:dyDescent="0.4">
      <c r="A31" s="25">
        <v>30</v>
      </c>
      <c r="B31" s="25">
        <v>97</v>
      </c>
      <c r="C31" s="32"/>
      <c r="D31" s="31"/>
      <c r="E31" s="24"/>
    </row>
    <row r="32" spans="1:5" ht="22.2" customHeight="1" x14ac:dyDescent="0.4">
      <c r="A32" s="25">
        <v>31</v>
      </c>
      <c r="B32" s="25">
        <v>90</v>
      </c>
      <c r="C32" s="32"/>
      <c r="D32" s="31"/>
      <c r="E32" s="24"/>
    </row>
    <row r="33" spans="1:5" ht="22.2" customHeight="1" x14ac:dyDescent="0.4">
      <c r="A33" s="25">
        <v>32</v>
      </c>
      <c r="B33" s="25">
        <v>93</v>
      </c>
      <c r="C33" s="32"/>
      <c r="D33" s="31"/>
      <c r="E33" s="24"/>
    </row>
    <row r="34" spans="1:5" ht="22.2" customHeight="1" x14ac:dyDescent="0.4">
      <c r="A34" s="25">
        <v>33</v>
      </c>
      <c r="B34" s="25">
        <v>96</v>
      </c>
      <c r="C34" s="32"/>
      <c r="D34" s="31"/>
      <c r="E34" s="24"/>
    </row>
    <row r="35" spans="1:5" ht="22.2" customHeight="1" x14ac:dyDescent="0.4">
      <c r="A35" s="26" t="s">
        <v>30</v>
      </c>
      <c r="B35" s="29"/>
      <c r="C35" s="29"/>
      <c r="D35" s="29"/>
      <c r="E35" s="24"/>
    </row>
    <row r="36" spans="1:5" ht="22.2" customHeight="1" x14ac:dyDescent="0.4">
      <c r="A36" s="26" t="s">
        <v>31</v>
      </c>
      <c r="B36" s="30"/>
      <c r="C36" s="30"/>
      <c r="D36" s="30"/>
      <c r="E36" s="24"/>
    </row>
    <row r="38" spans="1:5" ht="22.2" customHeight="1" x14ac:dyDescent="0.4">
      <c r="A38" s="26" t="s">
        <v>32</v>
      </c>
    </row>
    <row r="39" spans="1:5" ht="22.2" customHeight="1" x14ac:dyDescent="0.4">
      <c r="B39" s="33"/>
      <c r="D39" s="34"/>
    </row>
  </sheetData>
  <phoneticPr fontId="5" type="noConversion"/>
  <pageMargins left="0" right="0" top="0" bottom="0" header="0" footer="0"/>
  <pageSetup paperSize="8" orientation="portrait" r:id="rId1"/>
  <rowBreaks count="1" manualBreakCount="1">
    <brk id="3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658C-3BC2-481D-A8C1-5B8A341AC995}">
  <sheetPr>
    <pageSetUpPr autoPageBreaks="0"/>
  </sheetPr>
  <dimension ref="A1:H34"/>
  <sheetViews>
    <sheetView workbookViewId="0">
      <selection activeCell="G6" sqref="G6"/>
    </sheetView>
  </sheetViews>
  <sheetFormatPr defaultColWidth="12.3984375" defaultRowHeight="27.6" customHeight="1" x14ac:dyDescent="0.4"/>
  <cols>
    <col min="1" max="1" width="9.5" style="22" customWidth="1"/>
    <col min="2" max="8" width="12.3984375" style="22"/>
  </cols>
  <sheetData>
    <row r="1" spans="1:8" ht="27.6" customHeight="1" x14ac:dyDescent="0.4">
      <c r="A1" s="20" t="s">
        <v>22</v>
      </c>
      <c r="B1" s="20" t="s">
        <v>20</v>
      </c>
      <c r="C1" s="20" t="s">
        <v>23</v>
      </c>
      <c r="D1" s="20" t="s">
        <v>24</v>
      </c>
      <c r="E1" s="20" t="s">
        <v>19</v>
      </c>
      <c r="F1" s="20" t="s">
        <v>25</v>
      </c>
      <c r="G1" s="20" t="s">
        <v>26</v>
      </c>
      <c r="H1" s="20" t="s">
        <v>21</v>
      </c>
    </row>
    <row r="2" spans="1:8" ht="27.6" customHeight="1" x14ac:dyDescent="0.4">
      <c r="A2" s="21">
        <v>1</v>
      </c>
      <c r="B2" s="21">
        <v>100</v>
      </c>
      <c r="C2" s="21">
        <v>96</v>
      </c>
      <c r="D2" s="21">
        <v>98</v>
      </c>
      <c r="E2" s="21">
        <v>95</v>
      </c>
      <c r="F2" s="21">
        <v>91</v>
      </c>
      <c r="G2" s="21">
        <v>88</v>
      </c>
      <c r="H2" s="21">
        <v>99</v>
      </c>
    </row>
    <row r="3" spans="1:8" ht="27.6" customHeight="1" x14ac:dyDescent="0.4">
      <c r="A3" s="21">
        <v>2</v>
      </c>
      <c r="B3" s="21">
        <v>34</v>
      </c>
      <c r="C3" s="21">
        <v>52</v>
      </c>
      <c r="D3" s="21">
        <v>50</v>
      </c>
      <c r="E3" s="21">
        <v>37</v>
      </c>
      <c r="F3" s="21">
        <v>53</v>
      </c>
      <c r="G3" s="21">
        <v>63</v>
      </c>
      <c r="H3" s="21">
        <v>75</v>
      </c>
    </row>
    <row r="4" spans="1:8" ht="27.6" customHeight="1" x14ac:dyDescent="0.4">
      <c r="A4" s="21">
        <v>3</v>
      </c>
      <c r="B4" s="21">
        <v>99</v>
      </c>
      <c r="C4" s="21">
        <v>98</v>
      </c>
      <c r="D4" s="21">
        <v>100</v>
      </c>
      <c r="E4" s="21">
        <v>92</v>
      </c>
      <c r="F4" s="21">
        <v>98</v>
      </c>
      <c r="G4" s="21">
        <v>94</v>
      </c>
      <c r="H4" s="21">
        <v>94</v>
      </c>
    </row>
    <row r="5" spans="1:8" ht="27.6" customHeight="1" x14ac:dyDescent="0.4">
      <c r="A5" s="21">
        <v>4</v>
      </c>
      <c r="B5" s="21">
        <v>31</v>
      </c>
      <c r="C5" s="21">
        <v>58</v>
      </c>
      <c r="D5" s="21">
        <v>43</v>
      </c>
      <c r="E5" s="21">
        <v>62</v>
      </c>
      <c r="F5" s="21">
        <v>62</v>
      </c>
      <c r="G5" s="21">
        <v>48</v>
      </c>
      <c r="H5" s="21">
        <v>69</v>
      </c>
    </row>
    <row r="6" spans="1:8" ht="27.6" customHeight="1" x14ac:dyDescent="0.4">
      <c r="A6" s="21">
        <v>5</v>
      </c>
      <c r="B6" s="21">
        <v>69</v>
      </c>
      <c r="C6" s="21">
        <v>73</v>
      </c>
      <c r="D6" s="21">
        <v>93</v>
      </c>
      <c r="E6" s="21">
        <v>87</v>
      </c>
      <c r="F6" s="21">
        <v>70</v>
      </c>
      <c r="G6" s="21">
        <v>91</v>
      </c>
      <c r="H6" s="21">
        <v>89</v>
      </c>
    </row>
    <row r="7" spans="1:8" ht="27.6" customHeight="1" x14ac:dyDescent="0.4">
      <c r="A7" s="21">
        <v>6</v>
      </c>
      <c r="B7" s="21">
        <v>47</v>
      </c>
      <c r="C7" s="21">
        <v>64</v>
      </c>
      <c r="D7" s="21">
        <v>28</v>
      </c>
      <c r="E7" s="21">
        <v>43</v>
      </c>
      <c r="F7" s="21">
        <v>54</v>
      </c>
      <c r="G7" s="21">
        <v>44</v>
      </c>
      <c r="H7" s="21">
        <v>54</v>
      </c>
    </row>
    <row r="8" spans="1:8" ht="27.6" customHeight="1" x14ac:dyDescent="0.4">
      <c r="A8" s="21">
        <v>7</v>
      </c>
      <c r="B8" s="21">
        <v>79</v>
      </c>
      <c r="C8" s="21">
        <v>97</v>
      </c>
      <c r="D8" s="21">
        <v>83</v>
      </c>
      <c r="E8" s="21">
        <v>94</v>
      </c>
      <c r="F8" s="21">
        <v>92</v>
      </c>
      <c r="G8" s="21">
        <v>87</v>
      </c>
      <c r="H8" s="21">
        <v>97</v>
      </c>
    </row>
    <row r="9" spans="1:8" ht="27.6" customHeight="1" x14ac:dyDescent="0.4">
      <c r="A9" s="21">
        <v>8</v>
      </c>
      <c r="B9" s="21">
        <v>80</v>
      </c>
      <c r="C9" s="21">
        <v>78</v>
      </c>
      <c r="D9" s="21">
        <v>79</v>
      </c>
      <c r="E9" s="21">
        <v>79</v>
      </c>
      <c r="F9" s="21">
        <v>78</v>
      </c>
      <c r="G9" s="21">
        <v>79</v>
      </c>
      <c r="H9" s="21">
        <v>95</v>
      </c>
    </row>
    <row r="10" spans="1:8" ht="27.6" customHeight="1" x14ac:dyDescent="0.4">
      <c r="A10" s="21">
        <v>9</v>
      </c>
      <c r="B10" s="21">
        <v>92</v>
      </c>
      <c r="C10" s="21">
        <v>78</v>
      </c>
      <c r="D10" s="21">
        <v>95</v>
      </c>
      <c r="E10" s="21">
        <v>81</v>
      </c>
      <c r="F10" s="21">
        <v>87</v>
      </c>
      <c r="G10" s="21">
        <v>86</v>
      </c>
      <c r="H10" s="21">
        <v>95</v>
      </c>
    </row>
    <row r="11" spans="1:8" ht="27.6" customHeight="1" x14ac:dyDescent="0.4">
      <c r="A11" s="21">
        <v>10</v>
      </c>
      <c r="B11" s="21">
        <v>81</v>
      </c>
      <c r="C11" s="21">
        <v>77</v>
      </c>
      <c r="D11" s="21">
        <v>93</v>
      </c>
      <c r="E11" s="21">
        <v>71</v>
      </c>
      <c r="F11" s="21">
        <v>75</v>
      </c>
      <c r="G11" s="21">
        <v>83</v>
      </c>
      <c r="H11" s="21">
        <v>89</v>
      </c>
    </row>
    <row r="12" spans="1:8" ht="27.6" customHeight="1" x14ac:dyDescent="0.4">
      <c r="A12" s="21">
        <v>11</v>
      </c>
      <c r="B12" s="21">
        <v>78</v>
      </c>
      <c r="C12" s="21">
        <v>79</v>
      </c>
      <c r="D12" s="21">
        <v>93</v>
      </c>
      <c r="E12" s="21">
        <v>91</v>
      </c>
      <c r="F12" s="21">
        <v>78</v>
      </c>
      <c r="G12" s="21">
        <v>90</v>
      </c>
      <c r="H12" s="21">
        <v>89</v>
      </c>
    </row>
    <row r="13" spans="1:8" ht="27.6" customHeight="1" x14ac:dyDescent="0.4">
      <c r="A13" s="21">
        <v>12</v>
      </c>
      <c r="B13" s="21">
        <v>98</v>
      </c>
      <c r="C13" s="21">
        <v>99</v>
      </c>
      <c r="D13" s="21">
        <v>100</v>
      </c>
      <c r="E13" s="21">
        <v>91</v>
      </c>
      <c r="F13" s="21">
        <v>96</v>
      </c>
      <c r="G13" s="21">
        <v>97</v>
      </c>
      <c r="H13" s="21">
        <v>96</v>
      </c>
    </row>
    <row r="14" spans="1:8" ht="27.6" customHeight="1" x14ac:dyDescent="0.4">
      <c r="A14" s="21">
        <v>13</v>
      </c>
      <c r="B14" s="21">
        <v>87</v>
      </c>
      <c r="C14" s="21">
        <v>92</v>
      </c>
      <c r="D14" s="21">
        <v>83</v>
      </c>
      <c r="E14" s="21">
        <v>97</v>
      </c>
      <c r="F14" s="21">
        <v>91</v>
      </c>
      <c r="G14" s="21">
        <v>92</v>
      </c>
      <c r="H14" s="21">
        <v>90</v>
      </c>
    </row>
    <row r="15" spans="1:8" ht="27.6" customHeight="1" x14ac:dyDescent="0.4">
      <c r="A15" s="21">
        <v>14</v>
      </c>
      <c r="B15" s="21">
        <v>70</v>
      </c>
      <c r="C15" s="21">
        <v>88</v>
      </c>
      <c r="D15" s="21">
        <v>84</v>
      </c>
      <c r="E15" s="21">
        <v>61</v>
      </c>
      <c r="F15" s="21">
        <v>94</v>
      </c>
      <c r="G15" s="21">
        <v>85</v>
      </c>
      <c r="H15" s="21">
        <v>79</v>
      </c>
    </row>
    <row r="16" spans="1:8" ht="27.6" customHeight="1" x14ac:dyDescent="0.4">
      <c r="A16" s="21">
        <v>15</v>
      </c>
      <c r="B16" s="21">
        <v>96</v>
      </c>
      <c r="C16" s="21">
        <v>98</v>
      </c>
      <c r="D16" s="21">
        <v>90</v>
      </c>
      <c r="E16" s="21">
        <v>96</v>
      </c>
      <c r="F16" s="21">
        <v>79</v>
      </c>
      <c r="G16" s="21">
        <v>92</v>
      </c>
      <c r="H16" s="21">
        <v>96</v>
      </c>
    </row>
    <row r="17" spans="1:8" ht="27.6" customHeight="1" x14ac:dyDescent="0.4">
      <c r="A17" s="21">
        <v>16</v>
      </c>
      <c r="B17" s="21">
        <v>42</v>
      </c>
      <c r="C17" s="21">
        <v>24</v>
      </c>
      <c r="D17" s="21">
        <v>22</v>
      </c>
      <c r="E17" s="21">
        <v>37</v>
      </c>
      <c r="F17" s="21">
        <v>33</v>
      </c>
      <c r="G17" s="21">
        <v>0</v>
      </c>
      <c r="H17" s="21">
        <v>29</v>
      </c>
    </row>
    <row r="18" spans="1:8" ht="27.6" customHeight="1" x14ac:dyDescent="0.4">
      <c r="A18" s="21">
        <v>17</v>
      </c>
      <c r="B18" s="21">
        <v>96</v>
      </c>
      <c r="C18" s="21">
        <v>96</v>
      </c>
      <c r="D18" s="21">
        <v>100</v>
      </c>
      <c r="E18" s="21">
        <v>93</v>
      </c>
      <c r="F18" s="21">
        <v>96</v>
      </c>
      <c r="G18" s="21">
        <v>94</v>
      </c>
      <c r="H18" s="21">
        <v>99</v>
      </c>
    </row>
    <row r="19" spans="1:8" ht="27.6" customHeight="1" x14ac:dyDescent="0.4">
      <c r="A19" s="21">
        <v>18</v>
      </c>
      <c r="B19" s="21">
        <v>92</v>
      </c>
      <c r="C19" s="21">
        <v>83</v>
      </c>
      <c r="D19" s="21">
        <v>98</v>
      </c>
      <c r="E19" s="21">
        <v>84</v>
      </c>
      <c r="F19" s="21">
        <v>86</v>
      </c>
      <c r="G19" s="21">
        <v>87</v>
      </c>
      <c r="H19" s="21">
        <v>74</v>
      </c>
    </row>
    <row r="20" spans="1:8" ht="27.6" customHeight="1" x14ac:dyDescent="0.4">
      <c r="A20" s="21">
        <v>19</v>
      </c>
      <c r="B20" s="21">
        <v>87</v>
      </c>
      <c r="C20" s="21">
        <v>83</v>
      </c>
      <c r="D20" s="21">
        <v>70</v>
      </c>
      <c r="E20" s="21">
        <v>87</v>
      </c>
      <c r="F20" s="21">
        <v>87</v>
      </c>
      <c r="G20" s="21">
        <v>76</v>
      </c>
      <c r="H20" s="21">
        <v>83</v>
      </c>
    </row>
    <row r="21" spans="1:8" ht="27.6" customHeight="1" x14ac:dyDescent="0.4">
      <c r="A21" s="21">
        <v>20</v>
      </c>
      <c r="B21" s="21">
        <v>94</v>
      </c>
      <c r="C21" s="21">
        <v>96</v>
      </c>
      <c r="D21" s="21">
        <v>93</v>
      </c>
      <c r="E21" s="21">
        <v>87</v>
      </c>
      <c r="F21" s="21">
        <v>92</v>
      </c>
      <c r="G21" s="21">
        <v>98</v>
      </c>
      <c r="H21" s="21">
        <v>98</v>
      </c>
    </row>
    <row r="22" spans="1:8" ht="27.6" customHeight="1" x14ac:dyDescent="0.4">
      <c r="A22" s="21">
        <v>21</v>
      </c>
      <c r="B22" s="21">
        <v>60</v>
      </c>
      <c r="C22" s="21">
        <v>76</v>
      </c>
      <c r="D22" s="21">
        <v>54</v>
      </c>
      <c r="E22" s="21">
        <v>78</v>
      </c>
      <c r="F22" s="21">
        <v>52</v>
      </c>
      <c r="G22" s="21">
        <v>74</v>
      </c>
      <c r="H22" s="21">
        <v>92</v>
      </c>
    </row>
    <row r="23" spans="1:8" ht="27.6" customHeight="1" x14ac:dyDescent="0.4">
      <c r="A23" s="21">
        <v>22</v>
      </c>
      <c r="B23" s="21">
        <v>99</v>
      </c>
      <c r="C23" s="21">
        <v>92</v>
      </c>
      <c r="D23" s="21">
        <v>100</v>
      </c>
      <c r="E23" s="21">
        <v>94</v>
      </c>
      <c r="F23" s="21">
        <v>90</v>
      </c>
      <c r="G23" s="21">
        <v>82</v>
      </c>
      <c r="H23" s="21">
        <v>98</v>
      </c>
    </row>
    <row r="24" spans="1:8" ht="27.6" customHeight="1" x14ac:dyDescent="0.4">
      <c r="A24" s="21">
        <v>23</v>
      </c>
      <c r="B24" s="21">
        <v>86</v>
      </c>
      <c r="C24" s="21">
        <v>94</v>
      </c>
      <c r="D24" s="21">
        <v>94</v>
      </c>
      <c r="E24" s="21">
        <v>87</v>
      </c>
      <c r="F24" s="21">
        <v>89</v>
      </c>
      <c r="G24" s="21">
        <v>85</v>
      </c>
      <c r="H24" s="21">
        <v>90</v>
      </c>
    </row>
    <row r="25" spans="1:8" ht="27.6" customHeight="1" x14ac:dyDescent="0.4">
      <c r="A25" s="21">
        <v>24</v>
      </c>
      <c r="B25" s="21">
        <v>76</v>
      </c>
      <c r="C25" s="21">
        <v>73</v>
      </c>
      <c r="D25" s="21">
        <v>74</v>
      </c>
      <c r="E25" s="21">
        <v>68</v>
      </c>
      <c r="F25" s="21">
        <v>70</v>
      </c>
      <c r="G25" s="21">
        <v>79</v>
      </c>
      <c r="H25" s="21">
        <v>80</v>
      </c>
    </row>
    <row r="26" spans="1:8" ht="27.6" customHeight="1" x14ac:dyDescent="0.4">
      <c r="A26" s="21">
        <v>25</v>
      </c>
      <c r="B26" s="21">
        <v>78</v>
      </c>
      <c r="C26" s="21">
        <v>83</v>
      </c>
      <c r="D26" s="21">
        <v>82</v>
      </c>
      <c r="E26" s="21">
        <v>85</v>
      </c>
      <c r="F26" s="21">
        <v>71</v>
      </c>
      <c r="G26" s="21">
        <v>73</v>
      </c>
      <c r="H26" s="21">
        <v>92</v>
      </c>
    </row>
    <row r="27" spans="1:8" ht="27.6" customHeight="1" x14ac:dyDescent="0.4">
      <c r="A27" s="21">
        <v>26</v>
      </c>
      <c r="B27" s="21">
        <v>79</v>
      </c>
      <c r="C27" s="21">
        <v>78</v>
      </c>
      <c r="D27" s="21">
        <v>91</v>
      </c>
      <c r="E27" s="21">
        <v>80</v>
      </c>
      <c r="F27" s="21">
        <v>80</v>
      </c>
      <c r="G27" s="21">
        <v>92</v>
      </c>
      <c r="H27" s="21">
        <v>83</v>
      </c>
    </row>
    <row r="28" spans="1:8" ht="27.6" customHeight="1" x14ac:dyDescent="0.4">
      <c r="A28" s="21">
        <v>27</v>
      </c>
      <c r="B28" s="21">
        <v>28</v>
      </c>
      <c r="C28" s="21">
        <v>8</v>
      </c>
      <c r="D28" s="21">
        <v>7</v>
      </c>
      <c r="E28" s="21">
        <v>7</v>
      </c>
      <c r="F28" s="21">
        <v>20</v>
      </c>
      <c r="G28" s="21">
        <v>5</v>
      </c>
      <c r="H28" s="21">
        <v>12</v>
      </c>
    </row>
    <row r="29" spans="1:8" ht="27.6" customHeight="1" x14ac:dyDescent="0.4">
      <c r="A29" s="21">
        <v>28</v>
      </c>
      <c r="B29" s="21">
        <v>63</v>
      </c>
      <c r="C29" s="21">
        <v>76</v>
      </c>
      <c r="D29" s="21">
        <v>77</v>
      </c>
      <c r="E29" s="21">
        <v>75</v>
      </c>
      <c r="F29" s="21">
        <v>73</v>
      </c>
      <c r="G29" s="21">
        <v>78</v>
      </c>
      <c r="H29" s="21">
        <v>66</v>
      </c>
    </row>
    <row r="30" spans="1:8" ht="27.6" customHeight="1" x14ac:dyDescent="0.4">
      <c r="A30" s="21">
        <v>29</v>
      </c>
      <c r="B30" s="21">
        <v>77</v>
      </c>
      <c r="C30" s="21">
        <v>61</v>
      </c>
      <c r="D30" s="21">
        <v>53</v>
      </c>
      <c r="E30" s="21">
        <v>82</v>
      </c>
      <c r="F30" s="21">
        <v>65</v>
      </c>
      <c r="G30" s="21">
        <v>70</v>
      </c>
      <c r="H30" s="21">
        <v>69</v>
      </c>
    </row>
    <row r="31" spans="1:8" ht="27.6" customHeight="1" x14ac:dyDescent="0.4">
      <c r="A31" s="21">
        <v>30</v>
      </c>
      <c r="B31" s="21">
        <v>98</v>
      </c>
      <c r="C31" s="21">
        <v>96</v>
      </c>
      <c r="D31" s="21">
        <v>100</v>
      </c>
      <c r="E31" s="21">
        <v>97</v>
      </c>
      <c r="F31" s="21">
        <v>91</v>
      </c>
      <c r="G31" s="21">
        <v>92</v>
      </c>
      <c r="H31" s="21">
        <v>100</v>
      </c>
    </row>
    <row r="32" spans="1:8" ht="27.6" customHeight="1" x14ac:dyDescent="0.4">
      <c r="A32" s="21">
        <v>31</v>
      </c>
      <c r="B32" s="21">
        <v>97</v>
      </c>
      <c r="C32" s="21">
        <v>79</v>
      </c>
      <c r="D32" s="21">
        <v>98</v>
      </c>
      <c r="E32" s="21">
        <v>90</v>
      </c>
      <c r="F32" s="21">
        <v>87</v>
      </c>
      <c r="G32" s="21">
        <v>94</v>
      </c>
      <c r="H32" s="21">
        <v>88</v>
      </c>
    </row>
    <row r="33" spans="1:8" ht="27.6" customHeight="1" x14ac:dyDescent="0.4">
      <c r="A33" s="21">
        <v>32</v>
      </c>
      <c r="B33" s="21">
        <v>84</v>
      </c>
      <c r="C33" s="21">
        <v>83</v>
      </c>
      <c r="D33" s="21">
        <v>83</v>
      </c>
      <c r="E33" s="21">
        <v>93</v>
      </c>
      <c r="F33" s="21">
        <v>86</v>
      </c>
      <c r="G33" s="21">
        <v>77</v>
      </c>
      <c r="H33" s="21">
        <v>86</v>
      </c>
    </row>
    <row r="34" spans="1:8" ht="27.6" customHeight="1" x14ac:dyDescent="0.4">
      <c r="A34" s="21">
        <v>33</v>
      </c>
      <c r="B34" s="21">
        <v>79</v>
      </c>
      <c r="C34" s="21">
        <v>82</v>
      </c>
      <c r="D34" s="21">
        <v>95</v>
      </c>
      <c r="E34" s="21">
        <v>96</v>
      </c>
      <c r="F34" s="21">
        <v>78</v>
      </c>
      <c r="G34" s="21">
        <v>93</v>
      </c>
      <c r="H34" s="21">
        <v>93</v>
      </c>
    </row>
  </sheetData>
  <phoneticPr fontId="5" type="noConversion"/>
  <pageMargins left="0" right="0" top="0" bottom="0" header="0" footer="0"/>
  <pageSetup paperSize="8" orientation="portrait" r:id="rId1"/>
  <rowBreaks count="1" manualBreakCount="1">
    <brk id="3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M49"/>
  <sheetViews>
    <sheetView topLeftCell="A31" workbookViewId="0">
      <selection activeCell="C50" sqref="C50"/>
    </sheetView>
  </sheetViews>
  <sheetFormatPr defaultRowHeight="17.399999999999999" x14ac:dyDescent="0.4"/>
  <sheetData>
    <row r="1" spans="1:11" x14ac:dyDescent="0.4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</row>
    <row r="2" spans="1:11" x14ac:dyDescent="0.4">
      <c r="A2" s="2">
        <v>1</v>
      </c>
      <c r="B2" s="3">
        <v>76</v>
      </c>
      <c r="C2" s="3">
        <v>88.5</v>
      </c>
      <c r="D2" s="3">
        <v>84.5</v>
      </c>
      <c r="E2" s="3">
        <v>79.900000000000006</v>
      </c>
      <c r="F2" s="3">
        <v>83.4</v>
      </c>
      <c r="G2" s="3">
        <v>90</v>
      </c>
      <c r="H2" s="3">
        <v>69</v>
      </c>
      <c r="I2" s="3">
        <v>86</v>
      </c>
      <c r="J2" s="3">
        <v>39.5</v>
      </c>
      <c r="K2" s="3">
        <v>55</v>
      </c>
    </row>
    <row r="3" spans="1:11" x14ac:dyDescent="0.4">
      <c r="A3" s="2">
        <v>2</v>
      </c>
      <c r="B3" s="3">
        <v>98</v>
      </c>
      <c r="C3" s="3">
        <v>80</v>
      </c>
      <c r="D3" s="3">
        <v>53</v>
      </c>
      <c r="E3" s="3">
        <v>18</v>
      </c>
      <c r="F3" s="3">
        <v>81</v>
      </c>
      <c r="G3" s="3">
        <v>60</v>
      </c>
      <c r="H3" s="3">
        <v>83</v>
      </c>
      <c r="I3" s="3">
        <v>91.5</v>
      </c>
      <c r="J3" s="3">
        <v>86</v>
      </c>
      <c r="K3" s="3">
        <v>95</v>
      </c>
    </row>
    <row r="4" spans="1:11" x14ac:dyDescent="0.4">
      <c r="A4" s="2">
        <v>3</v>
      </c>
      <c r="B4" s="3">
        <v>100</v>
      </c>
      <c r="C4" s="3">
        <v>100</v>
      </c>
      <c r="D4" s="3">
        <v>61.5</v>
      </c>
      <c r="E4" s="3">
        <v>72.5</v>
      </c>
      <c r="F4" s="3">
        <v>13.5</v>
      </c>
      <c r="G4" s="3">
        <v>89.9</v>
      </c>
      <c r="H4" s="3">
        <v>84</v>
      </c>
      <c r="I4" s="3">
        <v>33.9</v>
      </c>
      <c r="J4" s="3">
        <v>52.5</v>
      </c>
      <c r="K4" s="3">
        <v>83</v>
      </c>
    </row>
    <row r="5" spans="1:11" x14ac:dyDescent="0.4">
      <c r="A5" s="2">
        <v>4</v>
      </c>
      <c r="B5" s="3">
        <v>83</v>
      </c>
      <c r="C5" s="3">
        <v>52</v>
      </c>
      <c r="D5" s="3">
        <v>81</v>
      </c>
      <c r="E5" s="3">
        <v>98.5</v>
      </c>
      <c r="F5" s="3">
        <v>87</v>
      </c>
      <c r="G5" s="3">
        <v>64</v>
      </c>
      <c r="H5" s="3">
        <v>85.4</v>
      </c>
      <c r="I5" s="3">
        <v>77.900000000000006</v>
      </c>
      <c r="J5" s="3">
        <v>89.5</v>
      </c>
      <c r="K5" s="3">
        <v>19.399999999999999</v>
      </c>
    </row>
    <row r="6" spans="1:11" x14ac:dyDescent="0.4">
      <c r="A6" s="2">
        <v>5</v>
      </c>
      <c r="B6" s="3">
        <v>84.5</v>
      </c>
      <c r="C6" s="3">
        <v>100</v>
      </c>
      <c r="D6" s="3">
        <v>95</v>
      </c>
      <c r="E6" s="3">
        <v>10</v>
      </c>
      <c r="F6" s="3">
        <v>98</v>
      </c>
      <c r="G6" s="3">
        <v>17</v>
      </c>
      <c r="H6" s="3">
        <v>57.9</v>
      </c>
      <c r="I6" s="3">
        <v>91.5</v>
      </c>
      <c r="J6" s="3">
        <v>70.900000000000006</v>
      </c>
      <c r="K6" s="3">
        <v>80</v>
      </c>
    </row>
    <row r="7" spans="1:11" x14ac:dyDescent="0.4">
      <c r="A7" s="2">
        <v>6</v>
      </c>
      <c r="B7" s="3">
        <v>74</v>
      </c>
      <c r="C7" s="3">
        <v>87.5</v>
      </c>
      <c r="D7" s="3">
        <v>100</v>
      </c>
      <c r="E7" s="3">
        <v>85.5</v>
      </c>
      <c r="F7" s="3">
        <v>82.5</v>
      </c>
      <c r="G7" s="3">
        <v>83</v>
      </c>
      <c r="H7" s="3">
        <v>88</v>
      </c>
      <c r="I7" s="3">
        <v>97</v>
      </c>
      <c r="J7" s="3">
        <v>80</v>
      </c>
      <c r="K7" s="3">
        <v>55.5</v>
      </c>
    </row>
    <row r="8" spans="1:11" x14ac:dyDescent="0.4">
      <c r="A8" s="2">
        <v>7</v>
      </c>
      <c r="B8" s="3">
        <v>96</v>
      </c>
      <c r="C8" s="3">
        <v>90.5</v>
      </c>
      <c r="D8" s="3">
        <v>93.5</v>
      </c>
      <c r="E8" s="3">
        <v>77.400000000000006</v>
      </c>
      <c r="F8" s="3">
        <v>37.5</v>
      </c>
      <c r="G8" s="3">
        <v>76</v>
      </c>
      <c r="H8" s="3">
        <v>93.5</v>
      </c>
      <c r="I8" s="3">
        <v>97.5</v>
      </c>
      <c r="J8" s="3">
        <v>58.4</v>
      </c>
      <c r="K8" s="3">
        <v>98</v>
      </c>
    </row>
    <row r="9" spans="1:11" x14ac:dyDescent="0.4">
      <c r="A9" s="2">
        <v>8</v>
      </c>
      <c r="B9" s="3">
        <v>72</v>
      </c>
      <c r="C9" s="3">
        <v>86</v>
      </c>
      <c r="D9" s="3">
        <v>100</v>
      </c>
      <c r="E9" s="3">
        <v>83.5</v>
      </c>
      <c r="F9" s="3">
        <v>85</v>
      </c>
      <c r="G9" s="3">
        <v>26</v>
      </c>
      <c r="H9" s="3">
        <v>84</v>
      </c>
      <c r="I9" s="3">
        <v>85.5</v>
      </c>
      <c r="J9" s="3">
        <v>91</v>
      </c>
      <c r="K9" s="3">
        <v>95</v>
      </c>
    </row>
    <row r="10" spans="1:11" x14ac:dyDescent="0.4">
      <c r="A10" s="2">
        <v>9</v>
      </c>
      <c r="B10" s="3">
        <v>91</v>
      </c>
      <c r="C10" s="3">
        <v>95</v>
      </c>
      <c r="D10" s="3">
        <v>56</v>
      </c>
      <c r="E10" s="3">
        <v>87.4</v>
      </c>
      <c r="F10" s="3">
        <v>67.5</v>
      </c>
      <c r="G10" s="3">
        <v>94</v>
      </c>
      <c r="H10" s="3">
        <v>92</v>
      </c>
      <c r="I10" s="3">
        <v>94.5</v>
      </c>
      <c r="J10" s="3">
        <v>61</v>
      </c>
      <c r="K10" s="3">
        <v>53</v>
      </c>
    </row>
    <row r="11" spans="1:11" x14ac:dyDescent="0.4">
      <c r="A11" s="2">
        <v>10</v>
      </c>
      <c r="B11" s="3">
        <v>70.400000000000006</v>
      </c>
      <c r="C11" s="3">
        <v>75</v>
      </c>
      <c r="D11" s="3">
        <v>35</v>
      </c>
      <c r="E11" s="3">
        <v>78</v>
      </c>
      <c r="F11" s="3">
        <v>93.5</v>
      </c>
      <c r="G11" s="3">
        <v>87</v>
      </c>
      <c r="H11" s="3">
        <v>10</v>
      </c>
      <c r="I11" s="3">
        <v>75</v>
      </c>
      <c r="J11" s="3">
        <v>91</v>
      </c>
      <c r="K11" s="3">
        <v>14</v>
      </c>
    </row>
    <row r="12" spans="1:11" x14ac:dyDescent="0.4">
      <c r="A12" s="2">
        <v>11</v>
      </c>
      <c r="B12" s="3">
        <v>34</v>
      </c>
      <c r="C12" s="3">
        <v>95.5</v>
      </c>
      <c r="D12" s="3">
        <v>78</v>
      </c>
      <c r="E12" s="3">
        <v>85</v>
      </c>
      <c r="F12" s="3">
        <v>92</v>
      </c>
      <c r="G12" s="3">
        <v>41.5</v>
      </c>
      <c r="H12" s="3">
        <v>90</v>
      </c>
      <c r="I12" s="3">
        <v>14.5</v>
      </c>
      <c r="J12" s="3">
        <v>84</v>
      </c>
      <c r="K12" s="3">
        <v>88.5</v>
      </c>
    </row>
    <row r="13" spans="1:11" x14ac:dyDescent="0.4">
      <c r="A13" s="2">
        <v>12</v>
      </c>
      <c r="B13" s="3">
        <v>79.5</v>
      </c>
      <c r="C13" s="3">
        <v>88</v>
      </c>
      <c r="D13" s="3">
        <v>83.5</v>
      </c>
      <c r="E13" s="3">
        <v>85</v>
      </c>
      <c r="F13" s="3">
        <v>81.900000000000006</v>
      </c>
      <c r="G13" s="3">
        <v>80</v>
      </c>
      <c r="H13" s="3">
        <v>34</v>
      </c>
      <c r="I13" s="3">
        <v>92</v>
      </c>
      <c r="J13" s="3">
        <v>17</v>
      </c>
      <c r="K13" s="3">
        <v>90.5</v>
      </c>
    </row>
    <row r="14" spans="1:11" x14ac:dyDescent="0.4">
      <c r="A14" s="2">
        <v>13</v>
      </c>
      <c r="B14" s="3">
        <v>91</v>
      </c>
      <c r="C14" s="3">
        <v>75.400000000000006</v>
      </c>
      <c r="D14" s="3">
        <v>13</v>
      </c>
      <c r="E14" s="3">
        <v>83.5</v>
      </c>
      <c r="F14" s="3">
        <v>80.5</v>
      </c>
      <c r="G14" s="3">
        <v>94.4</v>
      </c>
      <c r="H14" s="3">
        <v>75.400000000000006</v>
      </c>
      <c r="I14" s="3">
        <v>29</v>
      </c>
      <c r="J14" s="3">
        <v>73</v>
      </c>
      <c r="K14" s="3">
        <v>28.9</v>
      </c>
    </row>
    <row r="15" spans="1:11" x14ac:dyDescent="0.4">
      <c r="A15" s="2">
        <v>14</v>
      </c>
      <c r="B15" s="3">
        <v>77.400000000000006</v>
      </c>
      <c r="C15" s="3">
        <v>86</v>
      </c>
      <c r="D15" s="3">
        <v>16</v>
      </c>
      <c r="E15" s="3">
        <v>75</v>
      </c>
      <c r="F15" s="3">
        <v>85.5</v>
      </c>
      <c r="G15" s="3">
        <v>74</v>
      </c>
      <c r="H15" s="3">
        <v>33</v>
      </c>
      <c r="I15" s="3">
        <v>66.400000000000006</v>
      </c>
      <c r="J15" s="3">
        <v>39.5</v>
      </c>
      <c r="K15" s="3">
        <v>77.5</v>
      </c>
    </row>
    <row r="16" spans="1:11" x14ac:dyDescent="0.4">
      <c r="A16" s="2">
        <v>15</v>
      </c>
      <c r="B16" s="3">
        <v>36</v>
      </c>
      <c r="C16" s="3">
        <v>28</v>
      </c>
      <c r="D16" s="3">
        <v>83.5</v>
      </c>
      <c r="E16" s="3">
        <v>81.5</v>
      </c>
      <c r="F16" s="3">
        <v>68.5</v>
      </c>
      <c r="G16" s="3">
        <v>65</v>
      </c>
      <c r="H16" s="3">
        <v>97</v>
      </c>
      <c r="I16" s="3">
        <v>95</v>
      </c>
      <c r="J16" s="3">
        <v>73</v>
      </c>
      <c r="K16" s="3">
        <v>85</v>
      </c>
    </row>
    <row r="17" spans="1:11" x14ac:dyDescent="0.4">
      <c r="A17" s="2">
        <v>16</v>
      </c>
      <c r="B17" s="3">
        <v>50.4</v>
      </c>
      <c r="C17" s="3">
        <v>81</v>
      </c>
      <c r="D17" s="3">
        <v>78</v>
      </c>
      <c r="E17" s="3">
        <v>27</v>
      </c>
      <c r="F17" s="3">
        <v>93.5</v>
      </c>
      <c r="G17" s="3">
        <v>84</v>
      </c>
      <c r="H17" s="3">
        <v>87</v>
      </c>
      <c r="I17" s="3">
        <v>88</v>
      </c>
      <c r="J17" s="3">
        <v>94.5</v>
      </c>
      <c r="K17" s="3">
        <v>96.5</v>
      </c>
    </row>
    <row r="18" spans="1:11" x14ac:dyDescent="0.4">
      <c r="A18" s="2">
        <v>17</v>
      </c>
      <c r="B18" s="3">
        <v>74</v>
      </c>
      <c r="C18" s="3">
        <v>16</v>
      </c>
      <c r="D18" s="3">
        <v>82</v>
      </c>
      <c r="E18" s="3">
        <v>79</v>
      </c>
      <c r="F18" s="3">
        <v>39</v>
      </c>
      <c r="G18" s="3">
        <v>93.4</v>
      </c>
      <c r="H18" s="3">
        <v>85.4</v>
      </c>
      <c r="I18" s="3">
        <v>73</v>
      </c>
      <c r="J18" s="3">
        <v>58</v>
      </c>
      <c r="K18" s="3">
        <v>100</v>
      </c>
    </row>
    <row r="19" spans="1:11" x14ac:dyDescent="0.4">
      <c r="A19" s="2">
        <v>18</v>
      </c>
      <c r="B19" s="3">
        <v>94.5</v>
      </c>
      <c r="C19" s="3">
        <v>24</v>
      </c>
      <c r="D19" s="3">
        <v>77.5</v>
      </c>
      <c r="E19" s="3">
        <v>30</v>
      </c>
      <c r="F19" s="3">
        <v>92.5</v>
      </c>
      <c r="G19" s="3">
        <v>93.5</v>
      </c>
      <c r="H19" s="3">
        <v>91</v>
      </c>
      <c r="I19" s="3">
        <v>96</v>
      </c>
      <c r="J19" s="3">
        <v>92.5</v>
      </c>
      <c r="K19" s="3">
        <v>94</v>
      </c>
    </row>
    <row r="20" spans="1:11" x14ac:dyDescent="0.4">
      <c r="A20" s="2">
        <v>19</v>
      </c>
      <c r="B20" s="3">
        <v>86</v>
      </c>
      <c r="C20" s="3">
        <v>100</v>
      </c>
      <c r="D20" s="3">
        <v>93</v>
      </c>
      <c r="E20" s="3">
        <v>81.5</v>
      </c>
      <c r="F20" s="3">
        <v>60.4</v>
      </c>
      <c r="G20" s="3">
        <v>55</v>
      </c>
      <c r="H20" s="3">
        <v>70.900000000000006</v>
      </c>
      <c r="I20" s="3">
        <v>95</v>
      </c>
      <c r="J20" s="3">
        <v>81.900000000000006</v>
      </c>
      <c r="K20" s="3">
        <v>87.5</v>
      </c>
    </row>
    <row r="21" spans="1:11" x14ac:dyDescent="0.4">
      <c r="A21" s="2">
        <v>20</v>
      </c>
      <c r="B21" s="3">
        <v>81</v>
      </c>
      <c r="C21" s="3">
        <v>83</v>
      </c>
      <c r="D21" s="3">
        <v>36.5</v>
      </c>
      <c r="E21" s="3">
        <v>87.5</v>
      </c>
      <c r="F21" s="3">
        <v>94</v>
      </c>
      <c r="G21" s="3">
        <v>97.5</v>
      </c>
      <c r="H21" s="3">
        <v>9.5</v>
      </c>
      <c r="I21" s="3">
        <v>84</v>
      </c>
      <c r="J21" s="3">
        <v>84.5</v>
      </c>
      <c r="K21" s="3">
        <v>86.5</v>
      </c>
    </row>
    <row r="22" spans="1:11" x14ac:dyDescent="0.4">
      <c r="A22" s="2">
        <v>21</v>
      </c>
      <c r="B22" s="3">
        <v>28</v>
      </c>
      <c r="C22" s="3">
        <v>69.400000000000006</v>
      </c>
      <c r="D22" s="3">
        <v>98.5</v>
      </c>
      <c r="E22" s="3">
        <v>23</v>
      </c>
      <c r="F22" s="3">
        <v>92</v>
      </c>
      <c r="G22" s="3">
        <v>94.5</v>
      </c>
      <c r="H22" s="3">
        <v>62.9</v>
      </c>
      <c r="I22" s="3">
        <v>13</v>
      </c>
      <c r="J22" s="3">
        <v>85.9</v>
      </c>
      <c r="K22" s="3">
        <v>79.5</v>
      </c>
    </row>
    <row r="23" spans="1:11" x14ac:dyDescent="0.4">
      <c r="A23" s="2">
        <v>22</v>
      </c>
      <c r="B23" s="3">
        <v>71</v>
      </c>
      <c r="C23" s="3">
        <v>90</v>
      </c>
      <c r="D23" s="3">
        <v>41</v>
      </c>
      <c r="E23" s="3">
        <v>88</v>
      </c>
      <c r="F23" s="3">
        <v>25.5</v>
      </c>
      <c r="G23" s="3">
        <v>49</v>
      </c>
      <c r="H23" s="3">
        <v>88</v>
      </c>
      <c r="I23" s="3">
        <v>85</v>
      </c>
      <c r="J23" s="3">
        <v>100</v>
      </c>
      <c r="K23" s="3">
        <v>95</v>
      </c>
    </row>
    <row r="24" spans="1:11" x14ac:dyDescent="0.4">
      <c r="A24" s="2">
        <v>23</v>
      </c>
      <c r="B24" s="3">
        <v>67.900000000000006</v>
      </c>
      <c r="C24" s="3">
        <v>87</v>
      </c>
      <c r="D24" s="3">
        <v>84</v>
      </c>
      <c r="E24" s="3">
        <v>77.900000000000006</v>
      </c>
      <c r="F24" s="3">
        <v>85</v>
      </c>
      <c r="G24" s="3">
        <v>92</v>
      </c>
      <c r="H24" s="3">
        <v>94</v>
      </c>
      <c r="I24" s="3">
        <v>90.5</v>
      </c>
      <c r="J24" s="3">
        <v>86.5</v>
      </c>
      <c r="K24" s="3">
        <v>96.5</v>
      </c>
    </row>
    <row r="25" spans="1:11" x14ac:dyDescent="0.4">
      <c r="A25" s="2">
        <v>24</v>
      </c>
      <c r="B25" s="3">
        <v>80</v>
      </c>
      <c r="C25" s="3">
        <v>91</v>
      </c>
      <c r="D25" s="3">
        <v>100</v>
      </c>
      <c r="E25" s="3">
        <v>60.9</v>
      </c>
      <c r="F25" s="3">
        <v>77</v>
      </c>
      <c r="G25" s="3">
        <v>76</v>
      </c>
      <c r="H25" s="3">
        <v>93.9</v>
      </c>
      <c r="I25" s="3">
        <v>84.5</v>
      </c>
      <c r="J25" s="3">
        <v>83</v>
      </c>
      <c r="K25" s="3">
        <v>89.5</v>
      </c>
    </row>
    <row r="26" spans="1:11" x14ac:dyDescent="0.4">
      <c r="A26" s="2">
        <v>25</v>
      </c>
      <c r="B26" s="3">
        <v>97.5</v>
      </c>
      <c r="C26" s="3">
        <v>29</v>
      </c>
      <c r="D26" s="3">
        <v>86</v>
      </c>
      <c r="E26" s="3">
        <v>87</v>
      </c>
      <c r="F26" s="3">
        <v>66.5</v>
      </c>
      <c r="G26" s="3">
        <v>96</v>
      </c>
      <c r="H26" s="3">
        <v>74.400000000000006</v>
      </c>
      <c r="I26" s="3">
        <v>90</v>
      </c>
      <c r="J26" s="3">
        <v>50</v>
      </c>
      <c r="K26" s="3">
        <v>86.5</v>
      </c>
    </row>
    <row r="27" spans="1:11" x14ac:dyDescent="0.4">
      <c r="A27" s="2">
        <v>26</v>
      </c>
      <c r="B27" s="3">
        <v>45.5</v>
      </c>
      <c r="C27" s="3">
        <v>85.5</v>
      </c>
      <c r="D27" s="3">
        <v>73.5</v>
      </c>
      <c r="E27" s="3">
        <v>85</v>
      </c>
      <c r="F27" s="3">
        <v>68</v>
      </c>
      <c r="G27" s="3">
        <v>75</v>
      </c>
      <c r="H27" s="3">
        <v>95</v>
      </c>
      <c r="I27" s="3">
        <v>80</v>
      </c>
      <c r="J27" s="3">
        <v>61.5</v>
      </c>
      <c r="K27" s="3">
        <v>90</v>
      </c>
    </row>
    <row r="28" spans="1:11" x14ac:dyDescent="0.4">
      <c r="A28" s="2">
        <v>27</v>
      </c>
      <c r="B28" s="3">
        <v>90.9</v>
      </c>
      <c r="C28" s="3">
        <v>90.5</v>
      </c>
      <c r="D28" s="3">
        <v>87.9</v>
      </c>
      <c r="E28" s="3">
        <v>41.5</v>
      </c>
      <c r="F28" s="3">
        <v>100</v>
      </c>
      <c r="G28" s="3">
        <v>58.5</v>
      </c>
      <c r="H28" s="3">
        <v>95</v>
      </c>
      <c r="I28" s="3">
        <v>65</v>
      </c>
      <c r="J28" s="3">
        <v>93</v>
      </c>
      <c r="K28" s="3">
        <v>79</v>
      </c>
    </row>
    <row r="29" spans="1:11" x14ac:dyDescent="0.4">
      <c r="A29" s="2">
        <v>28</v>
      </c>
      <c r="B29" s="3">
        <v>96</v>
      </c>
      <c r="C29" s="3">
        <v>79</v>
      </c>
      <c r="D29" s="3">
        <v>94</v>
      </c>
      <c r="E29" s="3">
        <v>74.5</v>
      </c>
      <c r="F29" s="3">
        <v>79.5</v>
      </c>
      <c r="G29" s="3">
        <v>96.5</v>
      </c>
      <c r="H29" s="3">
        <v>90.5</v>
      </c>
      <c r="I29" s="3">
        <v>89.5</v>
      </c>
      <c r="J29" s="3">
        <v>81</v>
      </c>
      <c r="K29" s="3">
        <v>89.5</v>
      </c>
    </row>
    <row r="30" spans="1:11" x14ac:dyDescent="0.4">
      <c r="A30" s="2">
        <v>29</v>
      </c>
      <c r="B30" s="3">
        <v>87.5</v>
      </c>
      <c r="C30" s="3">
        <v>46.5</v>
      </c>
      <c r="D30" s="3">
        <v>84</v>
      </c>
      <c r="E30" s="3">
        <v>91.5</v>
      </c>
      <c r="F30" s="3">
        <v>73</v>
      </c>
      <c r="G30" s="3">
        <v>18.899999999999999</v>
      </c>
      <c r="H30" s="3">
        <v>26</v>
      </c>
      <c r="I30" s="3">
        <v>60</v>
      </c>
      <c r="J30" s="3">
        <v>45</v>
      </c>
      <c r="K30" s="3">
        <v>85</v>
      </c>
    </row>
    <row r="31" spans="1:11" x14ac:dyDescent="0.4">
      <c r="A31" s="2">
        <v>30</v>
      </c>
      <c r="B31" s="3">
        <v>44.4</v>
      </c>
      <c r="C31" s="3">
        <v>97.5</v>
      </c>
      <c r="D31" s="3">
        <v>84</v>
      </c>
      <c r="E31" s="3">
        <v>69.5</v>
      </c>
      <c r="F31" s="3">
        <v>89.5</v>
      </c>
      <c r="G31" s="3">
        <v>69.5</v>
      </c>
      <c r="H31" s="3">
        <v>90</v>
      </c>
      <c r="I31" s="3">
        <v>82.5</v>
      </c>
      <c r="J31" s="3">
        <v>24</v>
      </c>
      <c r="K31" s="3">
        <v>63</v>
      </c>
    </row>
    <row r="32" spans="1:11" x14ac:dyDescent="0.4">
      <c r="A32" s="2">
        <v>31</v>
      </c>
      <c r="B32" s="3">
        <v>79.400000000000006</v>
      </c>
      <c r="C32" s="3">
        <v>80</v>
      </c>
      <c r="D32" s="3">
        <v>54</v>
      </c>
      <c r="E32" s="3">
        <v>86.5</v>
      </c>
      <c r="F32" s="3">
        <v>67.400000000000006</v>
      </c>
      <c r="G32" s="3">
        <v>76.5</v>
      </c>
      <c r="H32" s="3">
        <v>94.5</v>
      </c>
      <c r="I32" s="3">
        <v>83</v>
      </c>
      <c r="J32" s="3">
        <v>90.5</v>
      </c>
      <c r="K32" s="3">
        <v>76.900000000000006</v>
      </c>
    </row>
    <row r="33" spans="1:13" x14ac:dyDescent="0.4">
      <c r="A33" s="2">
        <v>32</v>
      </c>
      <c r="B33" s="3">
        <v>83</v>
      </c>
      <c r="C33" s="3">
        <v>59</v>
      </c>
      <c r="D33" s="3">
        <v>77.900000000000006</v>
      </c>
      <c r="E33" s="3">
        <v>72.5</v>
      </c>
      <c r="F33" s="3">
        <v>75.5</v>
      </c>
      <c r="G33" s="3">
        <v>74</v>
      </c>
      <c r="H33" s="3">
        <v>93.5</v>
      </c>
      <c r="I33" s="3">
        <v>83</v>
      </c>
      <c r="J33" s="3">
        <v>83</v>
      </c>
      <c r="K33" s="3">
        <v>73</v>
      </c>
    </row>
    <row r="34" spans="1:13" x14ac:dyDescent="0.4">
      <c r="A34" s="2">
        <v>33</v>
      </c>
      <c r="B34" s="3"/>
      <c r="C34" s="3">
        <v>99</v>
      </c>
      <c r="D34" s="3">
        <v>63.4</v>
      </c>
      <c r="E34" s="3">
        <v>94</v>
      </c>
      <c r="F34" s="3">
        <v>82</v>
      </c>
      <c r="G34" s="3">
        <v>90</v>
      </c>
      <c r="H34" s="3">
        <v>92</v>
      </c>
      <c r="I34" s="3">
        <v>78.5</v>
      </c>
      <c r="J34" s="3">
        <v>85.5</v>
      </c>
      <c r="K34" s="1"/>
    </row>
    <row r="35" spans="1:13" x14ac:dyDescent="0.4">
      <c r="A35" s="2">
        <v>34</v>
      </c>
      <c r="B35" s="3">
        <v>84.5</v>
      </c>
      <c r="C35" s="3">
        <v>90</v>
      </c>
      <c r="D35" s="3"/>
      <c r="E35" s="3">
        <v>70</v>
      </c>
      <c r="F35" s="3"/>
      <c r="G35" s="3"/>
      <c r="H35" s="3"/>
      <c r="I35" s="3">
        <v>80.400000000000006</v>
      </c>
      <c r="J35" s="3"/>
      <c r="K35" s="1"/>
    </row>
    <row r="36" spans="1:13" x14ac:dyDescent="0.4">
      <c r="A36" s="2"/>
      <c r="B36" s="3"/>
      <c r="C36" s="3"/>
      <c r="D36" s="3"/>
      <c r="E36" s="3"/>
      <c r="F36" s="3"/>
      <c r="G36" s="3"/>
      <c r="H36" s="3"/>
      <c r="I36" s="3"/>
      <c r="J36" s="3"/>
      <c r="K36" s="1"/>
    </row>
    <row r="37" spans="1:13" x14ac:dyDescent="0.4">
      <c r="A37" s="1" t="s">
        <v>1</v>
      </c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3" x14ac:dyDescent="0.4">
      <c r="A38" s="1" t="s">
        <v>2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3" x14ac:dyDescent="0.4">
      <c r="A39" s="1" t="s">
        <v>3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3" x14ac:dyDescent="0.4">
      <c r="A40" s="1" t="s">
        <v>5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3" x14ac:dyDescent="0.4">
      <c r="A41" s="1" t="s">
        <v>4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3" x14ac:dyDescent="0.4">
      <c r="F42" s="2"/>
      <c r="H42" s="2"/>
      <c r="I42" s="1"/>
      <c r="M42" s="1"/>
    </row>
    <row r="43" spans="1:13" x14ac:dyDescent="0.4">
      <c r="A43">
        <v>1</v>
      </c>
      <c r="B43" t="s">
        <v>6</v>
      </c>
      <c r="F43" s="7"/>
      <c r="H43" s="2"/>
      <c r="I43" s="1"/>
      <c r="M43" s="1"/>
    </row>
    <row r="44" spans="1:13" x14ac:dyDescent="0.4">
      <c r="A44">
        <v>2</v>
      </c>
      <c r="B44" t="s">
        <v>9</v>
      </c>
      <c r="F44" s="8"/>
    </row>
    <row r="45" spans="1:13" x14ac:dyDescent="0.4">
      <c r="A45">
        <v>3</v>
      </c>
      <c r="B45" t="s">
        <v>10</v>
      </c>
      <c r="F45" s="7"/>
    </row>
    <row r="46" spans="1:13" x14ac:dyDescent="0.4">
      <c r="A46">
        <v>4</v>
      </c>
      <c r="B46" t="s">
        <v>7</v>
      </c>
      <c r="F46" s="7"/>
    </row>
    <row r="47" spans="1:13" x14ac:dyDescent="0.4">
      <c r="A47">
        <v>5</v>
      </c>
      <c r="B47" t="s">
        <v>8</v>
      </c>
      <c r="F47" s="7"/>
    </row>
    <row r="48" spans="1:13" x14ac:dyDescent="0.4">
      <c r="A48">
        <v>6</v>
      </c>
      <c r="B48" t="s">
        <v>11</v>
      </c>
      <c r="F48" s="7"/>
    </row>
    <row r="49" spans="1:6" x14ac:dyDescent="0.4">
      <c r="A49">
        <v>7</v>
      </c>
      <c r="B49" t="s">
        <v>12</v>
      </c>
      <c r="F49" s="7"/>
    </row>
  </sheetData>
  <phoneticPr fontId="5" type="noConversion"/>
  <pageMargins left="0" right="0" top="0" bottom="0" header="0" footer="0"/>
  <pageSetup paperSize="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1E80-AB5B-4CA7-9E4A-AB8540A7D583}">
  <sheetPr>
    <pageSetUpPr autoPageBreaks="0"/>
  </sheetPr>
  <dimension ref="A1:M48"/>
  <sheetViews>
    <sheetView topLeftCell="A28" workbookViewId="0">
      <selection activeCell="I41" sqref="I41"/>
    </sheetView>
  </sheetViews>
  <sheetFormatPr defaultRowHeight="17.399999999999999" x14ac:dyDescent="0.4"/>
  <cols>
    <col min="1" max="1" width="8.796875" style="12"/>
    <col min="2" max="11" width="8.796875" style="17"/>
    <col min="12" max="16384" width="8.796875" style="12"/>
  </cols>
  <sheetData>
    <row r="1" spans="1:11" x14ac:dyDescent="0.4">
      <c r="A1" s="10" t="s">
        <v>0</v>
      </c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</row>
    <row r="2" spans="1:11" x14ac:dyDescent="0.4">
      <c r="A2" s="11">
        <v>1</v>
      </c>
      <c r="B2" s="9">
        <v>85</v>
      </c>
      <c r="C2" s="9">
        <v>54</v>
      </c>
      <c r="D2" s="9"/>
      <c r="E2" s="9">
        <v>90</v>
      </c>
      <c r="F2" s="9">
        <v>100</v>
      </c>
      <c r="G2" s="9">
        <v>85</v>
      </c>
      <c r="H2" s="9">
        <v>60</v>
      </c>
      <c r="I2" s="16">
        <v>30</v>
      </c>
      <c r="J2" s="9">
        <v>63.5</v>
      </c>
      <c r="K2" s="9">
        <v>77.5</v>
      </c>
    </row>
    <row r="3" spans="1:11" x14ac:dyDescent="0.4">
      <c r="A3" s="11">
        <v>2</v>
      </c>
      <c r="B3" s="9">
        <v>83</v>
      </c>
      <c r="C3" s="9">
        <v>90</v>
      </c>
      <c r="D3" s="9">
        <v>85</v>
      </c>
      <c r="E3" s="9">
        <v>94</v>
      </c>
      <c r="F3" s="9">
        <v>100</v>
      </c>
      <c r="G3" s="9">
        <v>79.5</v>
      </c>
      <c r="H3" s="9">
        <v>100</v>
      </c>
      <c r="I3" s="9">
        <v>59</v>
      </c>
      <c r="J3" s="9">
        <v>93</v>
      </c>
      <c r="K3" s="9">
        <v>20</v>
      </c>
    </row>
    <row r="4" spans="1:11" x14ac:dyDescent="0.4">
      <c r="A4" s="11">
        <v>3</v>
      </c>
      <c r="B4" s="9">
        <v>69</v>
      </c>
      <c r="C4" s="9">
        <v>100</v>
      </c>
      <c r="D4" s="9">
        <v>61</v>
      </c>
      <c r="E4" s="9">
        <v>38</v>
      </c>
      <c r="F4" s="9">
        <v>87</v>
      </c>
      <c r="G4" s="9">
        <v>95</v>
      </c>
      <c r="H4" s="9">
        <v>99</v>
      </c>
      <c r="I4" s="9">
        <v>100</v>
      </c>
      <c r="J4" s="9">
        <v>85</v>
      </c>
      <c r="K4" s="9">
        <v>81</v>
      </c>
    </row>
    <row r="5" spans="1:11" x14ac:dyDescent="0.4">
      <c r="A5" s="11">
        <v>4</v>
      </c>
      <c r="B5" s="9">
        <v>86</v>
      </c>
      <c r="C5" s="9">
        <v>95</v>
      </c>
      <c r="D5" s="9">
        <v>35</v>
      </c>
      <c r="E5" s="9">
        <v>95</v>
      </c>
      <c r="F5" s="9">
        <v>74</v>
      </c>
      <c r="G5" s="9">
        <v>85</v>
      </c>
      <c r="H5" s="9">
        <v>100</v>
      </c>
      <c r="I5" s="16">
        <v>5</v>
      </c>
      <c r="J5" s="16">
        <v>9</v>
      </c>
      <c r="K5" s="9">
        <v>94.5</v>
      </c>
    </row>
    <row r="6" spans="1:11" x14ac:dyDescent="0.4">
      <c r="A6" s="11">
        <v>5</v>
      </c>
      <c r="B6" s="9">
        <v>100</v>
      </c>
      <c r="C6" s="9">
        <v>84</v>
      </c>
      <c r="D6" s="9">
        <v>67</v>
      </c>
      <c r="E6" s="9">
        <v>80</v>
      </c>
      <c r="F6" s="9">
        <v>78</v>
      </c>
      <c r="G6" s="9">
        <v>95</v>
      </c>
      <c r="H6" s="9"/>
      <c r="I6" s="9">
        <v>81</v>
      </c>
      <c r="J6" s="9">
        <v>38</v>
      </c>
      <c r="K6" s="9">
        <v>75</v>
      </c>
    </row>
    <row r="7" spans="1:11" x14ac:dyDescent="0.4">
      <c r="A7" s="11">
        <v>6</v>
      </c>
      <c r="B7" s="9">
        <v>79.5</v>
      </c>
      <c r="C7" s="9">
        <v>61</v>
      </c>
      <c r="D7" s="9">
        <v>90</v>
      </c>
      <c r="E7" s="9">
        <v>69</v>
      </c>
      <c r="F7" s="9">
        <v>71</v>
      </c>
      <c r="G7" s="9">
        <v>77</v>
      </c>
      <c r="H7" s="9">
        <v>80</v>
      </c>
      <c r="I7" s="9">
        <v>82</v>
      </c>
      <c r="J7" s="9">
        <v>100</v>
      </c>
      <c r="K7" s="16"/>
    </row>
    <row r="8" spans="1:11" x14ac:dyDescent="0.4">
      <c r="A8" s="11">
        <v>7</v>
      </c>
      <c r="B8" s="9">
        <v>95</v>
      </c>
      <c r="C8" s="9">
        <v>68.5</v>
      </c>
      <c r="D8" s="9">
        <v>100</v>
      </c>
      <c r="E8" s="9">
        <v>94</v>
      </c>
      <c r="F8" s="9">
        <v>89</v>
      </c>
      <c r="G8" s="9">
        <v>100</v>
      </c>
      <c r="H8" s="9">
        <v>90</v>
      </c>
      <c r="I8" s="9">
        <v>94</v>
      </c>
      <c r="J8" s="9">
        <v>91</v>
      </c>
      <c r="K8" s="9">
        <v>59</v>
      </c>
    </row>
    <row r="9" spans="1:11" x14ac:dyDescent="0.4">
      <c r="A9" s="11">
        <v>8</v>
      </c>
      <c r="B9" s="9">
        <v>51.5</v>
      </c>
      <c r="C9" s="9">
        <v>71.5</v>
      </c>
      <c r="D9" s="9">
        <v>72</v>
      </c>
      <c r="E9" s="16">
        <v>30</v>
      </c>
      <c r="F9" s="9">
        <v>78</v>
      </c>
      <c r="G9" s="9">
        <v>91</v>
      </c>
      <c r="H9" s="9">
        <v>99</v>
      </c>
      <c r="I9" s="9">
        <v>43</v>
      </c>
      <c r="J9" s="9">
        <v>34</v>
      </c>
      <c r="K9" s="9">
        <v>95</v>
      </c>
    </row>
    <row r="10" spans="1:11" x14ac:dyDescent="0.4">
      <c r="A10" s="11">
        <v>9</v>
      </c>
      <c r="B10" s="9">
        <v>95</v>
      </c>
      <c r="C10" s="9">
        <v>92</v>
      </c>
      <c r="D10" s="9">
        <v>67</v>
      </c>
      <c r="E10" s="9">
        <v>20</v>
      </c>
      <c r="F10" s="9">
        <v>100</v>
      </c>
      <c r="G10" s="9">
        <v>99</v>
      </c>
      <c r="H10" s="9">
        <v>66</v>
      </c>
      <c r="I10" s="9">
        <v>69</v>
      </c>
      <c r="J10" s="9">
        <v>84.5</v>
      </c>
      <c r="K10" s="9">
        <v>69</v>
      </c>
    </row>
    <row r="11" spans="1:11" x14ac:dyDescent="0.4">
      <c r="A11" s="11">
        <v>10</v>
      </c>
      <c r="B11" s="9">
        <v>95</v>
      </c>
      <c r="C11" s="9">
        <v>100</v>
      </c>
      <c r="D11" s="9">
        <v>40</v>
      </c>
      <c r="E11" s="9">
        <v>82</v>
      </c>
      <c r="F11" s="9">
        <v>66</v>
      </c>
      <c r="G11" s="9">
        <v>59</v>
      </c>
      <c r="H11" s="9">
        <v>89</v>
      </c>
      <c r="I11" s="9">
        <v>100</v>
      </c>
      <c r="J11" s="9">
        <v>36</v>
      </c>
      <c r="K11" s="9">
        <v>68</v>
      </c>
    </row>
    <row r="12" spans="1:11" x14ac:dyDescent="0.4">
      <c r="A12" s="11">
        <v>11</v>
      </c>
      <c r="B12" s="9">
        <v>65</v>
      </c>
      <c r="C12" s="9">
        <v>39</v>
      </c>
      <c r="D12" s="9">
        <v>100</v>
      </c>
      <c r="E12" s="9">
        <v>92</v>
      </c>
      <c r="F12" s="9">
        <v>69.5</v>
      </c>
      <c r="G12" s="9">
        <v>90</v>
      </c>
      <c r="H12" s="9">
        <v>55</v>
      </c>
      <c r="I12" s="9">
        <v>58</v>
      </c>
      <c r="J12" s="9">
        <v>66</v>
      </c>
      <c r="K12" s="9">
        <v>38</v>
      </c>
    </row>
    <row r="13" spans="1:11" x14ac:dyDescent="0.4">
      <c r="A13" s="11">
        <v>12</v>
      </c>
      <c r="B13" s="9">
        <v>75</v>
      </c>
      <c r="C13" s="9">
        <v>79</v>
      </c>
      <c r="D13" s="9">
        <v>95</v>
      </c>
      <c r="E13" s="9">
        <v>38.5</v>
      </c>
      <c r="F13" s="9">
        <v>47.5</v>
      </c>
      <c r="G13" s="9">
        <v>39</v>
      </c>
      <c r="H13" s="9">
        <v>31</v>
      </c>
      <c r="I13" s="9">
        <v>80</v>
      </c>
      <c r="J13" s="9">
        <v>15</v>
      </c>
      <c r="K13" s="9">
        <v>79</v>
      </c>
    </row>
    <row r="14" spans="1:11" x14ac:dyDescent="0.4">
      <c r="A14" s="11">
        <v>13</v>
      </c>
      <c r="B14" s="9">
        <v>93</v>
      </c>
      <c r="C14" s="9">
        <v>85</v>
      </c>
      <c r="D14" s="9">
        <v>88</v>
      </c>
      <c r="E14" s="9">
        <v>72</v>
      </c>
      <c r="F14" s="9">
        <v>81</v>
      </c>
      <c r="G14" s="9">
        <v>24</v>
      </c>
      <c r="H14" s="9">
        <v>89.5</v>
      </c>
      <c r="I14" s="9">
        <v>75</v>
      </c>
      <c r="J14" s="9">
        <v>82</v>
      </c>
      <c r="K14" s="9">
        <v>80</v>
      </c>
    </row>
    <row r="15" spans="1:11" x14ac:dyDescent="0.4">
      <c r="A15" s="11">
        <v>14</v>
      </c>
      <c r="B15" s="9">
        <v>84</v>
      </c>
      <c r="C15" s="9">
        <v>74</v>
      </c>
      <c r="D15" s="9">
        <v>56</v>
      </c>
      <c r="E15" s="9">
        <v>45</v>
      </c>
      <c r="F15" s="9">
        <v>60</v>
      </c>
      <c r="G15" s="9">
        <v>66</v>
      </c>
      <c r="H15" s="9">
        <v>74</v>
      </c>
      <c r="I15" s="9">
        <v>54</v>
      </c>
      <c r="J15" s="9">
        <v>85</v>
      </c>
      <c r="K15" s="9">
        <v>61</v>
      </c>
    </row>
    <row r="16" spans="1:11" x14ac:dyDescent="0.4">
      <c r="A16" s="11">
        <v>15</v>
      </c>
      <c r="B16" s="9">
        <v>89</v>
      </c>
      <c r="C16" s="9">
        <v>71</v>
      </c>
      <c r="D16" s="9">
        <v>64</v>
      </c>
      <c r="E16" s="9">
        <v>83</v>
      </c>
      <c r="F16" s="9"/>
      <c r="G16" s="9">
        <v>73</v>
      </c>
      <c r="H16" s="9"/>
      <c r="I16" s="9">
        <v>95</v>
      </c>
      <c r="J16" s="9">
        <v>70</v>
      </c>
      <c r="K16" s="9">
        <v>95</v>
      </c>
    </row>
    <row r="17" spans="1:11" x14ac:dyDescent="0.4">
      <c r="A17" s="11">
        <v>16</v>
      </c>
      <c r="B17" s="9"/>
      <c r="C17" s="9">
        <v>87</v>
      </c>
      <c r="D17" s="9">
        <v>75</v>
      </c>
      <c r="E17" s="9"/>
      <c r="F17" s="9">
        <v>29</v>
      </c>
      <c r="G17" s="9">
        <v>47</v>
      </c>
      <c r="H17" s="9">
        <v>85</v>
      </c>
      <c r="I17" s="9">
        <v>94</v>
      </c>
      <c r="J17" s="9">
        <v>33.5</v>
      </c>
      <c r="K17" s="9">
        <v>48</v>
      </c>
    </row>
    <row r="18" spans="1:11" x14ac:dyDescent="0.4">
      <c r="A18" s="11">
        <v>17</v>
      </c>
      <c r="B18" s="9">
        <v>37</v>
      </c>
      <c r="C18" s="9">
        <v>65</v>
      </c>
      <c r="D18" s="9">
        <v>86</v>
      </c>
      <c r="E18" s="9">
        <v>82</v>
      </c>
      <c r="F18" s="9">
        <v>10</v>
      </c>
      <c r="G18" s="16">
        <v>45</v>
      </c>
      <c r="H18" s="9">
        <v>70</v>
      </c>
      <c r="I18" s="9">
        <v>84</v>
      </c>
      <c r="J18" s="9">
        <v>89</v>
      </c>
      <c r="K18" s="9">
        <v>45</v>
      </c>
    </row>
    <row r="19" spans="1:11" x14ac:dyDescent="0.4">
      <c r="A19" s="11">
        <v>18</v>
      </c>
      <c r="B19" s="9">
        <v>90</v>
      </c>
      <c r="C19" s="9">
        <v>38</v>
      </c>
      <c r="D19" s="9">
        <v>95</v>
      </c>
      <c r="E19" s="16">
        <v>40</v>
      </c>
      <c r="F19" s="9">
        <v>88</v>
      </c>
      <c r="G19" s="9">
        <v>92</v>
      </c>
      <c r="H19" s="16">
        <v>35</v>
      </c>
      <c r="I19" s="9">
        <v>92.5</v>
      </c>
      <c r="J19" s="9">
        <v>93</v>
      </c>
      <c r="K19" s="9">
        <v>70</v>
      </c>
    </row>
    <row r="20" spans="1:11" x14ac:dyDescent="0.4">
      <c r="A20" s="11">
        <v>19</v>
      </c>
      <c r="B20" s="9">
        <v>40.5</v>
      </c>
      <c r="C20" s="9">
        <v>91</v>
      </c>
      <c r="D20" s="9">
        <v>83.5</v>
      </c>
      <c r="E20" s="9">
        <v>82</v>
      </c>
      <c r="F20" s="9">
        <v>74</v>
      </c>
      <c r="G20" s="9">
        <v>78</v>
      </c>
      <c r="H20" s="16">
        <v>57</v>
      </c>
      <c r="I20" s="9">
        <v>72</v>
      </c>
      <c r="J20" s="9">
        <v>45</v>
      </c>
      <c r="K20" s="9">
        <v>95</v>
      </c>
    </row>
    <row r="21" spans="1:11" x14ac:dyDescent="0.4">
      <c r="A21" s="11">
        <v>20</v>
      </c>
      <c r="B21" s="9">
        <v>61</v>
      </c>
      <c r="C21" s="9">
        <v>58.5</v>
      </c>
      <c r="D21" s="9">
        <v>64</v>
      </c>
      <c r="E21" s="9">
        <v>90</v>
      </c>
      <c r="F21" s="9">
        <v>54.5</v>
      </c>
      <c r="G21" s="9">
        <v>25</v>
      </c>
      <c r="H21" s="16"/>
      <c r="I21" s="9">
        <v>79</v>
      </c>
      <c r="J21" s="9">
        <v>78</v>
      </c>
      <c r="K21" s="9">
        <v>78</v>
      </c>
    </row>
    <row r="22" spans="1:11" x14ac:dyDescent="0.4">
      <c r="A22" s="11">
        <v>21</v>
      </c>
      <c r="B22" s="9">
        <v>40</v>
      </c>
      <c r="C22" s="9">
        <v>39</v>
      </c>
      <c r="D22" s="9">
        <v>80</v>
      </c>
      <c r="E22" s="9">
        <v>65</v>
      </c>
      <c r="F22" s="9">
        <v>85</v>
      </c>
      <c r="G22" s="9">
        <v>20</v>
      </c>
      <c r="H22" s="9">
        <v>85</v>
      </c>
      <c r="I22" s="9">
        <v>80</v>
      </c>
      <c r="J22" s="16"/>
      <c r="K22" s="9">
        <v>69</v>
      </c>
    </row>
    <row r="23" spans="1:11" x14ac:dyDescent="0.4">
      <c r="A23" s="11">
        <v>22</v>
      </c>
      <c r="B23" s="9">
        <v>88</v>
      </c>
      <c r="C23" s="9">
        <v>99</v>
      </c>
      <c r="D23" s="9">
        <v>42.5</v>
      </c>
      <c r="E23" s="9">
        <v>28.5</v>
      </c>
      <c r="F23" s="9">
        <v>86</v>
      </c>
      <c r="G23" s="9">
        <v>84</v>
      </c>
      <c r="H23" s="16">
        <v>10</v>
      </c>
      <c r="I23" s="9">
        <v>21</v>
      </c>
      <c r="J23" s="9">
        <v>36</v>
      </c>
      <c r="K23" s="9">
        <v>72</v>
      </c>
    </row>
    <row r="24" spans="1:11" x14ac:dyDescent="0.4">
      <c r="A24" s="11">
        <v>23</v>
      </c>
      <c r="B24" s="9">
        <v>39</v>
      </c>
      <c r="C24" s="9">
        <v>81</v>
      </c>
      <c r="D24" s="9">
        <v>83</v>
      </c>
      <c r="E24" s="9">
        <v>79.5</v>
      </c>
      <c r="F24" s="16">
        <v>62</v>
      </c>
      <c r="G24" s="9">
        <v>74.5</v>
      </c>
      <c r="H24" s="9">
        <v>100</v>
      </c>
      <c r="I24" s="9">
        <v>90</v>
      </c>
      <c r="J24" s="9">
        <v>34</v>
      </c>
      <c r="K24" s="16">
        <v>78</v>
      </c>
    </row>
    <row r="25" spans="1:11" x14ac:dyDescent="0.4">
      <c r="A25" s="11">
        <v>24</v>
      </c>
      <c r="B25" s="9">
        <v>80</v>
      </c>
      <c r="C25" s="9">
        <v>80</v>
      </c>
      <c r="D25" s="9">
        <v>58</v>
      </c>
      <c r="E25" s="9">
        <v>44</v>
      </c>
      <c r="F25" s="9">
        <v>95</v>
      </c>
      <c r="G25" s="16">
        <v>15</v>
      </c>
      <c r="H25" s="9">
        <v>71.5</v>
      </c>
      <c r="I25" s="9">
        <v>64</v>
      </c>
      <c r="J25" s="9">
        <v>100</v>
      </c>
      <c r="K25" s="16">
        <v>35</v>
      </c>
    </row>
    <row r="26" spans="1:11" x14ac:dyDescent="0.4">
      <c r="A26" s="11">
        <v>25</v>
      </c>
      <c r="B26" s="9">
        <v>88.5</v>
      </c>
      <c r="C26" s="9">
        <v>36</v>
      </c>
      <c r="D26" s="9">
        <v>87</v>
      </c>
      <c r="E26" s="9">
        <v>66</v>
      </c>
      <c r="F26" s="9">
        <v>85</v>
      </c>
      <c r="G26" s="9">
        <v>64</v>
      </c>
      <c r="H26" s="9">
        <v>90</v>
      </c>
      <c r="I26" s="9">
        <v>100</v>
      </c>
      <c r="J26" s="9">
        <v>47</v>
      </c>
      <c r="K26" s="9">
        <v>57</v>
      </c>
    </row>
    <row r="27" spans="1:11" x14ac:dyDescent="0.4">
      <c r="A27" s="11">
        <v>26</v>
      </c>
      <c r="B27" s="16">
        <v>9</v>
      </c>
      <c r="C27" s="9">
        <v>94</v>
      </c>
      <c r="D27" s="9">
        <v>23.5</v>
      </c>
      <c r="E27" s="9">
        <v>61.5</v>
      </c>
      <c r="F27" s="9">
        <v>40</v>
      </c>
      <c r="G27" s="9">
        <v>80</v>
      </c>
      <c r="H27" s="9">
        <v>90</v>
      </c>
      <c r="I27" s="9">
        <v>49</v>
      </c>
      <c r="J27" s="9">
        <v>100</v>
      </c>
      <c r="K27" s="9">
        <v>90</v>
      </c>
    </row>
    <row r="28" spans="1:11" x14ac:dyDescent="0.4">
      <c r="A28" s="11">
        <v>27</v>
      </c>
      <c r="B28" s="9">
        <v>72</v>
      </c>
      <c r="C28" s="9">
        <v>90</v>
      </c>
      <c r="D28" s="9">
        <v>82</v>
      </c>
      <c r="E28" s="16">
        <v>20</v>
      </c>
      <c r="F28" s="9">
        <v>74</v>
      </c>
      <c r="G28" s="9">
        <v>95</v>
      </c>
      <c r="H28" s="9">
        <v>85</v>
      </c>
      <c r="I28" s="9">
        <v>100</v>
      </c>
      <c r="J28" s="9">
        <v>26</v>
      </c>
      <c r="K28" s="9">
        <v>10</v>
      </c>
    </row>
    <row r="29" spans="1:11" x14ac:dyDescent="0.4">
      <c r="A29" s="11">
        <v>28</v>
      </c>
      <c r="B29" s="9">
        <v>75</v>
      </c>
      <c r="C29" s="9">
        <v>95</v>
      </c>
      <c r="D29" s="9">
        <v>100</v>
      </c>
      <c r="E29" s="9">
        <v>78.5</v>
      </c>
      <c r="F29" s="9">
        <v>68</v>
      </c>
      <c r="G29" s="9">
        <v>100</v>
      </c>
      <c r="H29" s="16"/>
      <c r="I29" s="9">
        <v>89</v>
      </c>
      <c r="J29" s="9">
        <v>78.5</v>
      </c>
      <c r="K29" s="9">
        <v>95</v>
      </c>
    </row>
    <row r="30" spans="1:11" x14ac:dyDescent="0.4">
      <c r="A30" s="11">
        <v>29</v>
      </c>
      <c r="B30" s="9">
        <v>95</v>
      </c>
      <c r="C30" s="9">
        <v>89.5</v>
      </c>
      <c r="D30" s="9">
        <v>73</v>
      </c>
      <c r="E30" s="9">
        <v>73</v>
      </c>
      <c r="F30" s="9">
        <v>100</v>
      </c>
      <c r="G30" s="9">
        <v>94</v>
      </c>
      <c r="H30" s="9">
        <v>65</v>
      </c>
      <c r="I30" s="9">
        <v>40</v>
      </c>
      <c r="J30" s="9">
        <v>46</v>
      </c>
      <c r="K30" s="9">
        <v>75</v>
      </c>
    </row>
    <row r="31" spans="1:11" x14ac:dyDescent="0.4">
      <c r="A31" s="11">
        <v>30</v>
      </c>
      <c r="B31" s="9">
        <v>83</v>
      </c>
      <c r="C31" s="9">
        <v>93</v>
      </c>
      <c r="D31" s="9">
        <v>64</v>
      </c>
      <c r="E31" s="9">
        <v>45</v>
      </c>
      <c r="F31" s="9">
        <v>83</v>
      </c>
      <c r="G31" s="9">
        <v>54</v>
      </c>
      <c r="H31" s="9">
        <v>88</v>
      </c>
      <c r="I31" s="9">
        <v>88</v>
      </c>
      <c r="J31" s="9">
        <v>95</v>
      </c>
      <c r="K31" s="9">
        <v>61</v>
      </c>
    </row>
    <row r="32" spans="1:11" x14ac:dyDescent="0.4">
      <c r="A32" s="11">
        <v>31</v>
      </c>
      <c r="B32" s="9">
        <v>84</v>
      </c>
      <c r="C32" s="9">
        <v>79</v>
      </c>
      <c r="D32" s="16"/>
      <c r="E32" s="9">
        <v>65</v>
      </c>
      <c r="F32" s="9">
        <v>95</v>
      </c>
      <c r="G32" s="9">
        <v>85</v>
      </c>
      <c r="H32" s="9">
        <v>69.5</v>
      </c>
      <c r="I32" s="9">
        <v>68</v>
      </c>
      <c r="J32" s="9">
        <v>80</v>
      </c>
      <c r="K32" s="9">
        <v>67</v>
      </c>
    </row>
    <row r="33" spans="1:13" x14ac:dyDescent="0.4">
      <c r="A33" s="11">
        <v>32</v>
      </c>
      <c r="B33" s="9">
        <v>85</v>
      </c>
      <c r="C33" s="9">
        <v>44</v>
      </c>
      <c r="D33" s="9">
        <v>86</v>
      </c>
      <c r="E33" s="9">
        <v>81</v>
      </c>
      <c r="F33" s="9">
        <v>98</v>
      </c>
      <c r="G33" s="9">
        <v>90</v>
      </c>
      <c r="H33" s="9">
        <v>25</v>
      </c>
      <c r="I33" s="9">
        <v>85</v>
      </c>
      <c r="J33" s="9">
        <v>80</v>
      </c>
      <c r="K33" s="9">
        <v>44</v>
      </c>
    </row>
    <row r="34" spans="1:13" x14ac:dyDescent="0.4">
      <c r="A34" s="11">
        <v>33</v>
      </c>
      <c r="B34" s="9">
        <v>30</v>
      </c>
      <c r="C34" s="9">
        <v>85</v>
      </c>
      <c r="D34" s="9">
        <v>54</v>
      </c>
      <c r="E34" s="9">
        <v>95</v>
      </c>
      <c r="F34" s="9">
        <v>88.5</v>
      </c>
      <c r="G34" s="9">
        <v>43</v>
      </c>
      <c r="H34" s="9">
        <v>91</v>
      </c>
      <c r="I34" s="9">
        <v>69</v>
      </c>
      <c r="J34" s="9">
        <v>85</v>
      </c>
      <c r="K34" s="9">
        <v>85</v>
      </c>
    </row>
    <row r="35" spans="1:13" x14ac:dyDescent="0.4">
      <c r="A35" s="11">
        <v>34</v>
      </c>
      <c r="B35" s="9">
        <v>69</v>
      </c>
      <c r="C35" s="9">
        <v>98.5</v>
      </c>
      <c r="D35" s="9">
        <v>92</v>
      </c>
      <c r="E35" s="9">
        <v>84</v>
      </c>
      <c r="F35" s="9">
        <v>89</v>
      </c>
      <c r="G35" s="9">
        <v>83</v>
      </c>
      <c r="H35" s="9">
        <v>94</v>
      </c>
      <c r="I35" s="9">
        <v>51</v>
      </c>
      <c r="J35" s="9">
        <v>56</v>
      </c>
      <c r="K35" s="16">
        <v>10</v>
      </c>
    </row>
    <row r="36" spans="1:13" x14ac:dyDescent="0.4">
      <c r="A36" s="13">
        <v>35</v>
      </c>
      <c r="B36" s="14"/>
      <c r="C36" s="14"/>
      <c r="D36" s="9">
        <v>100</v>
      </c>
      <c r="E36" s="14"/>
      <c r="F36" s="14"/>
      <c r="G36" s="14"/>
      <c r="H36" s="9">
        <v>37</v>
      </c>
      <c r="I36" s="14"/>
      <c r="J36" s="14"/>
    </row>
    <row r="37" spans="1:13" x14ac:dyDescent="0.4">
      <c r="A37" s="13"/>
      <c r="B37" s="14"/>
      <c r="C37" s="9"/>
      <c r="D37" s="14"/>
      <c r="E37" s="14"/>
      <c r="F37" s="14"/>
      <c r="G37" s="14"/>
      <c r="H37" s="14"/>
      <c r="I37" s="14"/>
      <c r="J37" s="14"/>
      <c r="K37" s="9"/>
    </row>
    <row r="38" spans="1:13" x14ac:dyDescent="0.4">
      <c r="A38" s="10" t="s">
        <v>1</v>
      </c>
      <c r="B38" s="18"/>
      <c r="C38" s="14"/>
      <c r="D38" s="18"/>
      <c r="E38" s="18"/>
      <c r="F38" s="18"/>
      <c r="G38" s="18"/>
      <c r="H38" s="18"/>
      <c r="I38" s="18"/>
      <c r="J38" s="18"/>
      <c r="K38" s="14"/>
    </row>
    <row r="39" spans="1:13" x14ac:dyDescent="0.4">
      <c r="A39" s="10" t="s">
        <v>2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3" x14ac:dyDescent="0.4">
      <c r="A40" s="10" t="s">
        <v>3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3" x14ac:dyDescent="0.4">
      <c r="A41" s="10" t="s">
        <v>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3" x14ac:dyDescent="0.4">
      <c r="A42" s="10" t="s">
        <v>5</v>
      </c>
      <c r="C42" s="18"/>
      <c r="H42" s="15"/>
      <c r="I42" s="19"/>
      <c r="K42" s="18"/>
      <c r="M42" s="10"/>
    </row>
    <row r="43" spans="1:13" x14ac:dyDescent="0.4">
      <c r="A43" s="12">
        <v>1</v>
      </c>
      <c r="B43" s="17" t="s">
        <v>13</v>
      </c>
      <c r="M43" s="10"/>
    </row>
    <row r="44" spans="1:13" x14ac:dyDescent="0.4">
      <c r="A44" s="12">
        <v>2</v>
      </c>
      <c r="B44" s="17" t="s">
        <v>14</v>
      </c>
    </row>
    <row r="45" spans="1:13" x14ac:dyDescent="0.4">
      <c r="A45" s="12">
        <v>3</v>
      </c>
      <c r="B45" s="17" t="s">
        <v>15</v>
      </c>
    </row>
    <row r="46" spans="1:13" x14ac:dyDescent="0.4">
      <c r="A46" s="12">
        <v>4</v>
      </c>
      <c r="B46" s="17" t="s">
        <v>16</v>
      </c>
    </row>
    <row r="47" spans="1:13" x14ac:dyDescent="0.4">
      <c r="A47" s="12">
        <v>5</v>
      </c>
      <c r="B47" s="17" t="s">
        <v>18</v>
      </c>
    </row>
    <row r="48" spans="1:13" x14ac:dyDescent="0.4">
      <c r="A48" s="12">
        <v>6</v>
      </c>
      <c r="B48" s="17" t="s">
        <v>17</v>
      </c>
    </row>
  </sheetData>
  <phoneticPr fontId="5" type="noConversion"/>
  <pageMargins left="0" right="0" top="0" bottom="0" header="0" footer="0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807A-0BB0-49A8-A189-DC72BB5D9233}">
  <sheetPr>
    <pageSetUpPr autoPageBreaks="0"/>
  </sheetPr>
  <dimension ref="A1:P39"/>
  <sheetViews>
    <sheetView tabSelected="1" zoomScale="70" zoomScaleNormal="70" workbookViewId="0">
      <selection activeCell="F25" sqref="F25"/>
    </sheetView>
  </sheetViews>
  <sheetFormatPr defaultColWidth="12.3984375" defaultRowHeight="22.2" customHeight="1" x14ac:dyDescent="0.4"/>
  <cols>
    <col min="1" max="1" width="9.5" style="26" customWidth="1"/>
    <col min="2" max="3" width="12.3984375" style="26"/>
    <col min="4" max="4" width="18.796875" style="26" bestFit="1" customWidth="1"/>
    <col min="5" max="5" width="12.3984375" style="26"/>
    <col min="8" max="8" width="30.796875" customWidth="1"/>
    <col min="9" max="9" width="15.3984375" customWidth="1"/>
  </cols>
  <sheetData>
    <row r="1" spans="1:16" ht="22.2" customHeight="1" x14ac:dyDescent="0.4">
      <c r="A1" s="23" t="s">
        <v>22</v>
      </c>
      <c r="B1" s="23" t="s">
        <v>19</v>
      </c>
      <c r="C1" s="24" t="s">
        <v>27</v>
      </c>
      <c r="D1" s="24" t="s">
        <v>28</v>
      </c>
      <c r="E1" s="24" t="s">
        <v>29</v>
      </c>
      <c r="G1">
        <v>1</v>
      </c>
      <c r="H1" t="s">
        <v>6</v>
      </c>
      <c r="I1" s="28">
        <f>AVERAGE(B2:B34)</f>
        <v>78.696969696969703</v>
      </c>
    </row>
    <row r="2" spans="1:16" ht="22.2" customHeight="1" x14ac:dyDescent="0.4">
      <c r="A2" s="25">
        <v>1</v>
      </c>
      <c r="B2" s="25">
        <v>95</v>
      </c>
      <c r="C2" s="32">
        <f>B2-$I$1</f>
        <v>16.303030303030297</v>
      </c>
      <c r="D2" s="31">
        <f>(C2)^2</f>
        <v>265.78879706152418</v>
      </c>
      <c r="E2" s="24">
        <f>RANK(B2,$B$2:$B$34)</f>
        <v>5</v>
      </c>
      <c r="G2">
        <v>2</v>
      </c>
      <c r="H2" t="s">
        <v>9</v>
      </c>
      <c r="I2" s="8">
        <f>MEDIAN(B2:B34)</f>
        <v>87</v>
      </c>
    </row>
    <row r="3" spans="1:16" ht="22.2" customHeight="1" x14ac:dyDescent="0.4">
      <c r="A3" s="25">
        <v>2</v>
      </c>
      <c r="B3" s="25">
        <v>37</v>
      </c>
      <c r="C3" s="32">
        <f t="shared" ref="C3:C34" si="0">B3-$I$1</f>
        <v>-41.696969696969703</v>
      </c>
      <c r="D3" s="31">
        <f t="shared" ref="D3:D34" si="1">C3^2</f>
        <v>1738.6372819100097</v>
      </c>
      <c r="E3" s="24">
        <f t="shared" ref="E3:E34" si="2">RANK(B3,$B$2:$B$34)</f>
        <v>31</v>
      </c>
      <c r="G3">
        <v>3</v>
      </c>
      <c r="H3" t="s">
        <v>34</v>
      </c>
      <c r="I3">
        <f>_xlfn.XLOOKUP(14,E2:E34,B2:B34)</f>
        <v>87</v>
      </c>
      <c r="K3" t="s">
        <v>35</v>
      </c>
    </row>
    <row r="4" spans="1:16" ht="22.2" customHeight="1" x14ac:dyDescent="0.4">
      <c r="A4" s="25">
        <v>3</v>
      </c>
      <c r="B4" s="25">
        <v>92</v>
      </c>
      <c r="C4" s="32">
        <f t="shared" si="0"/>
        <v>13.303030303030297</v>
      </c>
      <c r="D4" s="31">
        <f t="shared" si="1"/>
        <v>176.97061524334237</v>
      </c>
      <c r="E4" s="24">
        <f t="shared" si="2"/>
        <v>10</v>
      </c>
      <c r="G4">
        <v>4</v>
      </c>
      <c r="H4" t="s">
        <v>10</v>
      </c>
      <c r="I4" s="35" cm="1">
        <f t="array" ref="I4">_xlfn.MODE.MULT(B2:B34)</f>
        <v>87</v>
      </c>
    </row>
    <row r="5" spans="1:16" ht="22.2" customHeight="1" x14ac:dyDescent="0.4">
      <c r="A5" s="25">
        <v>4</v>
      </c>
      <c r="B5" s="25">
        <v>62</v>
      </c>
      <c r="C5" s="32">
        <f t="shared" si="0"/>
        <v>-16.696969696969703</v>
      </c>
      <c r="D5" s="31">
        <f t="shared" si="1"/>
        <v>278.78879706152452</v>
      </c>
      <c r="E5" s="24">
        <f t="shared" si="2"/>
        <v>28</v>
      </c>
      <c r="G5">
        <v>5</v>
      </c>
      <c r="H5" t="s">
        <v>33</v>
      </c>
      <c r="I5">
        <f>COUNTIF(B2:B34,I4)</f>
        <v>4</v>
      </c>
    </row>
    <row r="6" spans="1:16" ht="22.2" customHeight="1" x14ac:dyDescent="0.4">
      <c r="A6" s="25">
        <v>5</v>
      </c>
      <c r="B6" s="25">
        <v>87</v>
      </c>
      <c r="C6" s="32">
        <f t="shared" si="0"/>
        <v>8.3030303030302974</v>
      </c>
      <c r="D6" s="31">
        <f t="shared" si="1"/>
        <v>68.940312213039391</v>
      </c>
      <c r="E6" s="30">
        <f t="shared" si="2"/>
        <v>14</v>
      </c>
      <c r="G6">
        <v>6</v>
      </c>
      <c r="H6" t="s">
        <v>36</v>
      </c>
      <c r="I6">
        <f>_xlfn.VAR.P(B2:B34)</f>
        <v>425.84756657483928</v>
      </c>
    </row>
    <row r="7" spans="1:16" ht="22.2" customHeight="1" x14ac:dyDescent="0.4">
      <c r="A7" s="25">
        <v>6</v>
      </c>
      <c r="B7" s="25">
        <v>43</v>
      </c>
      <c r="C7" s="32">
        <f t="shared" si="0"/>
        <v>-35.696969696969703</v>
      </c>
      <c r="D7" s="31">
        <f t="shared" si="1"/>
        <v>1274.2736455463732</v>
      </c>
      <c r="E7" s="24">
        <f t="shared" si="2"/>
        <v>30</v>
      </c>
      <c r="L7">
        <v>1</v>
      </c>
      <c r="M7">
        <v>1</v>
      </c>
      <c r="N7">
        <v>2</v>
      </c>
      <c r="O7">
        <v>2</v>
      </c>
      <c r="P7">
        <v>3</v>
      </c>
    </row>
    <row r="8" spans="1:16" ht="22.2" customHeight="1" x14ac:dyDescent="0.4">
      <c r="A8" s="25">
        <v>7</v>
      </c>
      <c r="B8" s="25">
        <v>94</v>
      </c>
      <c r="C8" s="32">
        <f t="shared" si="0"/>
        <v>15.303030303030297</v>
      </c>
      <c r="D8" s="31">
        <f t="shared" si="1"/>
        <v>234.18273645546356</v>
      </c>
      <c r="E8" s="24">
        <f t="shared" si="2"/>
        <v>6</v>
      </c>
    </row>
    <row r="9" spans="1:16" ht="22.2" customHeight="1" x14ac:dyDescent="0.4">
      <c r="A9" s="25">
        <v>8</v>
      </c>
      <c r="B9" s="25">
        <v>79</v>
      </c>
      <c r="C9" s="32">
        <f t="shared" si="0"/>
        <v>0.30303030303029743</v>
      </c>
      <c r="D9" s="31">
        <f t="shared" si="1"/>
        <v>9.1827364554633889E-2</v>
      </c>
      <c r="E9" s="24">
        <f t="shared" si="2"/>
        <v>23</v>
      </c>
      <c r="I9" s="36"/>
    </row>
    <row r="10" spans="1:16" ht="22.2" customHeight="1" x14ac:dyDescent="0.4">
      <c r="A10" s="25">
        <v>9</v>
      </c>
      <c r="B10" s="25">
        <v>81</v>
      </c>
      <c r="C10" s="32">
        <f t="shared" si="0"/>
        <v>2.3030303030302974</v>
      </c>
      <c r="D10" s="31">
        <f t="shared" si="1"/>
        <v>5.3039485766758236</v>
      </c>
      <c r="E10" s="24">
        <f t="shared" si="2"/>
        <v>21</v>
      </c>
      <c r="I10" s="36"/>
      <c r="N10">
        <f t="array" ref="N10:N11">_xlfn.MODE.MULT(L7:P7)</f>
        <v>1</v>
      </c>
    </row>
    <row r="11" spans="1:16" ht="22.2" customHeight="1" x14ac:dyDescent="0.4">
      <c r="A11" s="25">
        <v>10</v>
      </c>
      <c r="B11" s="25">
        <v>71</v>
      </c>
      <c r="C11" s="32">
        <f t="shared" si="0"/>
        <v>-7.6969696969697026</v>
      </c>
      <c r="D11" s="31">
        <f t="shared" si="1"/>
        <v>59.243342516069873</v>
      </c>
      <c r="E11" s="24">
        <f t="shared" si="2"/>
        <v>26</v>
      </c>
      <c r="I11" s="36"/>
      <c r="N11">
        <v>2</v>
      </c>
    </row>
    <row r="12" spans="1:16" ht="22.2" customHeight="1" x14ac:dyDescent="0.4">
      <c r="A12" s="25">
        <v>11</v>
      </c>
      <c r="B12" s="25">
        <v>91</v>
      </c>
      <c r="C12" s="32">
        <f t="shared" si="0"/>
        <v>12.303030303030297</v>
      </c>
      <c r="D12" s="31">
        <f t="shared" si="1"/>
        <v>151.36455463728177</v>
      </c>
      <c r="E12" s="24">
        <f t="shared" si="2"/>
        <v>11</v>
      </c>
      <c r="G12">
        <v>6</v>
      </c>
      <c r="H12" t="s">
        <v>8</v>
      </c>
      <c r="I12" s="7">
        <f>COUNTIF($B$2:$B$34,"&gt;=90")</f>
        <v>13</v>
      </c>
    </row>
    <row r="13" spans="1:16" ht="22.2" customHeight="1" x14ac:dyDescent="0.4">
      <c r="A13" s="25">
        <v>12</v>
      </c>
      <c r="B13" s="25">
        <v>91</v>
      </c>
      <c r="C13" s="32">
        <f t="shared" si="0"/>
        <v>12.303030303030297</v>
      </c>
      <c r="D13" s="31">
        <f t="shared" si="1"/>
        <v>151.36455463728177</v>
      </c>
      <c r="E13" s="24">
        <f t="shared" si="2"/>
        <v>11</v>
      </c>
      <c r="G13">
        <v>6</v>
      </c>
      <c r="H13" t="s">
        <v>11</v>
      </c>
      <c r="I13" s="7">
        <f>COUNTIF($B$2:$B$34,"&lt;59")</f>
        <v>4</v>
      </c>
    </row>
    <row r="14" spans="1:16" ht="22.2" customHeight="1" x14ac:dyDescent="0.4">
      <c r="A14" s="25">
        <v>13</v>
      </c>
      <c r="B14" s="25">
        <v>97</v>
      </c>
      <c r="C14" s="32">
        <f t="shared" si="0"/>
        <v>18.303030303030297</v>
      </c>
      <c r="D14" s="31">
        <f t="shared" si="1"/>
        <v>335.00091827364537</v>
      </c>
      <c r="E14" s="24">
        <f t="shared" si="2"/>
        <v>1</v>
      </c>
    </row>
    <row r="15" spans="1:16" ht="22.2" customHeight="1" x14ac:dyDescent="0.4">
      <c r="A15" s="25">
        <v>14</v>
      </c>
      <c r="B15" s="25">
        <v>61</v>
      </c>
      <c r="C15" s="32">
        <f t="shared" si="0"/>
        <v>-17.696969696969703</v>
      </c>
      <c r="D15" s="31">
        <f t="shared" si="1"/>
        <v>313.18273645546395</v>
      </c>
      <c r="E15" s="24">
        <f t="shared" si="2"/>
        <v>29</v>
      </c>
    </row>
    <row r="16" spans="1:16" ht="22.2" customHeight="1" x14ac:dyDescent="0.4">
      <c r="A16" s="25">
        <v>15</v>
      </c>
      <c r="B16" s="25">
        <v>96</v>
      </c>
      <c r="C16" s="32">
        <f t="shared" si="0"/>
        <v>17.303030303030297</v>
      </c>
      <c r="D16" s="31">
        <f t="shared" si="1"/>
        <v>299.39485766758474</v>
      </c>
      <c r="E16" s="24">
        <f t="shared" si="2"/>
        <v>3</v>
      </c>
    </row>
    <row r="17" spans="1:5" ht="22.2" customHeight="1" x14ac:dyDescent="0.4">
      <c r="A17" s="25">
        <v>16</v>
      </c>
      <c r="B17" s="25">
        <v>37</v>
      </c>
      <c r="C17" s="32">
        <f t="shared" si="0"/>
        <v>-41.696969696969703</v>
      </c>
      <c r="D17" s="31">
        <f t="shared" si="1"/>
        <v>1738.6372819100097</v>
      </c>
      <c r="E17" s="24">
        <f t="shared" si="2"/>
        <v>31</v>
      </c>
    </row>
    <row r="18" spans="1:5" ht="22.2" customHeight="1" x14ac:dyDescent="0.4">
      <c r="A18" s="25">
        <v>17</v>
      </c>
      <c r="B18" s="25">
        <v>93</v>
      </c>
      <c r="C18" s="32">
        <f t="shared" si="0"/>
        <v>14.303030303030297</v>
      </c>
      <c r="D18" s="31">
        <f t="shared" si="1"/>
        <v>204.57667584940296</v>
      </c>
      <c r="E18" s="24">
        <f t="shared" si="2"/>
        <v>8</v>
      </c>
    </row>
    <row r="19" spans="1:5" ht="22.2" customHeight="1" x14ac:dyDescent="0.4">
      <c r="A19" s="25">
        <v>18</v>
      </c>
      <c r="B19" s="25">
        <v>84</v>
      </c>
      <c r="C19" s="32">
        <f t="shared" si="0"/>
        <v>5.3030303030302974</v>
      </c>
      <c r="D19" s="31">
        <f t="shared" si="1"/>
        <v>28.122130394857606</v>
      </c>
      <c r="E19" s="24">
        <f t="shared" si="2"/>
        <v>19</v>
      </c>
    </row>
    <row r="20" spans="1:5" ht="22.2" customHeight="1" x14ac:dyDescent="0.4">
      <c r="A20" s="25">
        <v>19</v>
      </c>
      <c r="B20" s="25">
        <v>87</v>
      </c>
      <c r="C20" s="32">
        <f t="shared" si="0"/>
        <v>8.3030303030302974</v>
      </c>
      <c r="D20" s="31">
        <f t="shared" si="1"/>
        <v>68.940312213039391</v>
      </c>
      <c r="E20" s="30">
        <f t="shared" si="2"/>
        <v>14</v>
      </c>
    </row>
    <row r="21" spans="1:5" ht="22.2" customHeight="1" x14ac:dyDescent="0.4">
      <c r="A21" s="25">
        <v>20</v>
      </c>
      <c r="B21" s="25">
        <v>87</v>
      </c>
      <c r="C21" s="32">
        <f t="shared" si="0"/>
        <v>8.3030303030302974</v>
      </c>
      <c r="D21" s="31">
        <f t="shared" si="1"/>
        <v>68.940312213039391</v>
      </c>
      <c r="E21" s="30">
        <f t="shared" si="2"/>
        <v>14</v>
      </c>
    </row>
    <row r="22" spans="1:5" ht="22.2" customHeight="1" x14ac:dyDescent="0.4">
      <c r="A22" s="25">
        <v>21</v>
      </c>
      <c r="B22" s="25">
        <v>78</v>
      </c>
      <c r="C22" s="32">
        <f t="shared" si="0"/>
        <v>-0.69696969696970257</v>
      </c>
      <c r="D22" s="31">
        <f t="shared" si="1"/>
        <v>0.48576675849403905</v>
      </c>
      <c r="E22" s="24">
        <f t="shared" si="2"/>
        <v>24</v>
      </c>
    </row>
    <row r="23" spans="1:5" ht="22.2" customHeight="1" x14ac:dyDescent="0.4">
      <c r="A23" s="25">
        <v>22</v>
      </c>
      <c r="B23" s="25">
        <v>94</v>
      </c>
      <c r="C23" s="32">
        <f t="shared" si="0"/>
        <v>15.303030303030297</v>
      </c>
      <c r="D23" s="31">
        <f t="shared" si="1"/>
        <v>234.18273645546356</v>
      </c>
      <c r="E23" s="24">
        <f t="shared" si="2"/>
        <v>6</v>
      </c>
    </row>
    <row r="24" spans="1:5" ht="22.2" customHeight="1" x14ac:dyDescent="0.4">
      <c r="A24" s="25">
        <v>23</v>
      </c>
      <c r="B24" s="25">
        <v>87</v>
      </c>
      <c r="C24" s="32">
        <f t="shared" si="0"/>
        <v>8.3030303030302974</v>
      </c>
      <c r="D24" s="31">
        <f t="shared" si="1"/>
        <v>68.940312213039391</v>
      </c>
      <c r="E24" s="30">
        <f t="shared" si="2"/>
        <v>14</v>
      </c>
    </row>
    <row r="25" spans="1:5" ht="22.2" customHeight="1" x14ac:dyDescent="0.4">
      <c r="A25" s="25">
        <v>24</v>
      </c>
      <c r="B25" s="25">
        <v>68</v>
      </c>
      <c r="C25" s="32">
        <f t="shared" si="0"/>
        <v>-10.696969696969703</v>
      </c>
      <c r="D25" s="31">
        <f t="shared" si="1"/>
        <v>114.42516069788809</v>
      </c>
      <c r="E25" s="24">
        <f t="shared" si="2"/>
        <v>27</v>
      </c>
    </row>
    <row r="26" spans="1:5" ht="22.2" customHeight="1" x14ac:dyDescent="0.4">
      <c r="A26" s="25">
        <v>25</v>
      </c>
      <c r="B26" s="25">
        <v>85</v>
      </c>
      <c r="C26" s="32">
        <f t="shared" si="0"/>
        <v>6.3030303030302974</v>
      </c>
      <c r="D26" s="31">
        <f t="shared" si="1"/>
        <v>39.728191000918201</v>
      </c>
      <c r="E26" s="24">
        <f t="shared" si="2"/>
        <v>18</v>
      </c>
    </row>
    <row r="27" spans="1:5" ht="22.2" customHeight="1" x14ac:dyDescent="0.4">
      <c r="A27" s="25">
        <v>26</v>
      </c>
      <c r="B27" s="25">
        <v>80</v>
      </c>
      <c r="C27" s="32">
        <f t="shared" si="0"/>
        <v>1.3030303030302974</v>
      </c>
      <c r="D27" s="31">
        <f t="shared" si="1"/>
        <v>1.6978879706152288</v>
      </c>
      <c r="E27" s="24">
        <f t="shared" si="2"/>
        <v>22</v>
      </c>
    </row>
    <row r="28" spans="1:5" ht="22.2" customHeight="1" x14ac:dyDescent="0.4">
      <c r="A28" s="25">
        <v>27</v>
      </c>
      <c r="B28" s="25">
        <v>7</v>
      </c>
      <c r="C28" s="32">
        <f t="shared" si="0"/>
        <v>-71.696969696969703</v>
      </c>
      <c r="D28" s="31">
        <f t="shared" si="1"/>
        <v>5140.4554637281917</v>
      </c>
      <c r="E28" s="24">
        <f t="shared" si="2"/>
        <v>33</v>
      </c>
    </row>
    <row r="29" spans="1:5" ht="22.2" customHeight="1" x14ac:dyDescent="0.4">
      <c r="A29" s="25">
        <v>28</v>
      </c>
      <c r="B29" s="25">
        <v>75</v>
      </c>
      <c r="C29" s="32">
        <f t="shared" si="0"/>
        <v>-3.6969696969697026</v>
      </c>
      <c r="D29" s="31">
        <f t="shared" si="1"/>
        <v>13.667584940312254</v>
      </c>
      <c r="E29" s="24">
        <f t="shared" si="2"/>
        <v>25</v>
      </c>
    </row>
    <row r="30" spans="1:5" ht="22.2" customHeight="1" x14ac:dyDescent="0.4">
      <c r="A30" s="25">
        <v>29</v>
      </c>
      <c r="B30" s="25">
        <v>82</v>
      </c>
      <c r="C30" s="32">
        <f t="shared" si="0"/>
        <v>3.3030303030302974</v>
      </c>
      <c r="D30" s="31">
        <f t="shared" si="1"/>
        <v>10.910009182736419</v>
      </c>
      <c r="E30" s="24">
        <f t="shared" si="2"/>
        <v>20</v>
      </c>
    </row>
    <row r="31" spans="1:5" ht="22.2" customHeight="1" x14ac:dyDescent="0.4">
      <c r="A31" s="25">
        <v>30</v>
      </c>
      <c r="B31" s="25">
        <v>97</v>
      </c>
      <c r="C31" s="32">
        <f t="shared" si="0"/>
        <v>18.303030303030297</v>
      </c>
      <c r="D31" s="31">
        <f t="shared" si="1"/>
        <v>335.00091827364537</v>
      </c>
      <c r="E31" s="24">
        <f t="shared" si="2"/>
        <v>1</v>
      </c>
    </row>
    <row r="32" spans="1:5" ht="22.2" customHeight="1" x14ac:dyDescent="0.4">
      <c r="A32" s="25">
        <v>31</v>
      </c>
      <c r="B32" s="25">
        <v>90</v>
      </c>
      <c r="C32" s="32">
        <f t="shared" si="0"/>
        <v>11.303030303030297</v>
      </c>
      <c r="D32" s="31">
        <f t="shared" si="1"/>
        <v>127.75849403122118</v>
      </c>
      <c r="E32" s="24">
        <f t="shared" si="2"/>
        <v>13</v>
      </c>
    </row>
    <row r="33" spans="1:5" ht="22.2" customHeight="1" x14ac:dyDescent="0.4">
      <c r="A33" s="25">
        <v>32</v>
      </c>
      <c r="B33" s="25">
        <v>93</v>
      </c>
      <c r="C33" s="32">
        <f t="shared" si="0"/>
        <v>14.303030303030297</v>
      </c>
      <c r="D33" s="31">
        <f t="shared" si="1"/>
        <v>204.57667584940296</v>
      </c>
      <c r="E33" s="24">
        <f t="shared" si="2"/>
        <v>8</v>
      </c>
    </row>
    <row r="34" spans="1:5" ht="22.2" customHeight="1" x14ac:dyDescent="0.4">
      <c r="A34" s="25">
        <v>33</v>
      </c>
      <c r="B34" s="25">
        <v>96</v>
      </c>
      <c r="C34" s="32">
        <f t="shared" si="0"/>
        <v>17.303030303030297</v>
      </c>
      <c r="D34" s="31">
        <f t="shared" si="1"/>
        <v>299.39485766758474</v>
      </c>
      <c r="E34" s="24">
        <f t="shared" si="2"/>
        <v>3</v>
      </c>
    </row>
    <row r="35" spans="1:5" ht="22.2" customHeight="1" x14ac:dyDescent="0.4">
      <c r="A35" s="26" t="s">
        <v>30</v>
      </c>
      <c r="B35" s="29">
        <f>SUM(B2:B34)</f>
        <v>2597</v>
      </c>
      <c r="C35" s="29">
        <f>SUM(C2:C34)</f>
        <v>-1.8474111129762605E-13</v>
      </c>
      <c r="D35" s="29">
        <f>SUM(D2:D34)</f>
        <v>14052.969696969698</v>
      </c>
      <c r="E35" s="24"/>
    </row>
    <row r="36" spans="1:5" ht="22.2" customHeight="1" x14ac:dyDescent="0.4">
      <c r="A36" s="26" t="s">
        <v>31</v>
      </c>
      <c r="B36" s="30">
        <f>B35/33</f>
        <v>78.696969696969703</v>
      </c>
      <c r="C36" s="30"/>
      <c r="D36" s="30">
        <f>D35/COUNT(D2:D34)</f>
        <v>425.84756657483933</v>
      </c>
      <c r="E36" s="24"/>
    </row>
    <row r="38" spans="1:5" ht="22.2" customHeight="1" x14ac:dyDescent="0.4">
      <c r="A38" s="26" t="s">
        <v>32</v>
      </c>
    </row>
    <row r="39" spans="1:5" ht="22.2" customHeight="1" x14ac:dyDescent="0.4">
      <c r="B39" s="33">
        <f>AVERAGE(B2:B34)</f>
        <v>78.696969696969703</v>
      </c>
      <c r="D39" s="34">
        <f>_xlfn.VAR.P(B2:B34)</f>
        <v>425.84756657483928</v>
      </c>
    </row>
  </sheetData>
  <phoneticPr fontId="5" type="noConversion"/>
  <pageMargins left="0" right="0" top="0" bottom="0" header="0" footer="0"/>
  <pageSetup paperSize="8" orientation="portrait" r:id="rId1"/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실습데이터1</vt:lpstr>
      <vt:lpstr>실습데이터2</vt:lpstr>
      <vt:lpstr>수학 중간고사</vt:lpstr>
      <vt:lpstr>수학 기말고사</vt:lpstr>
      <vt:lpstr>실습데이터1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이용진</cp:lastModifiedBy>
  <dcterms:created xsi:type="dcterms:W3CDTF">2025-11-06T06:22:48Z</dcterms:created>
  <dcterms:modified xsi:type="dcterms:W3CDTF">2025-11-25T05:29:05Z</dcterms:modified>
</cp:coreProperties>
</file>